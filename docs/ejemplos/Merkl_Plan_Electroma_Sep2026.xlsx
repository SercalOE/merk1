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Catálogos" sheetId="2" state="visible" r:id="rId4"/>
    <sheet name="Insights" sheetId="3" state="visible" r:id="rId5"/>
    <sheet name="Plan" sheetId="4" state="visible" r:id="rId6"/>
    <sheet name="Control" sheetId="5" state="visible" r:id="rId7"/>
    <sheet name="Resumen" sheetId="6" state="visible" r:id="rId8"/>
    <sheet name="Revisa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<sst xmlns="http://schemas.openxmlformats.org/spreadsheetml/2006/main" count="529" uniqueCount="266">
  <si>
    <t xml:space="preserve">Merkl · Plan de medios estandarizado</t>
  </si>
  <si>
    <t xml:space="preserve">Piloto: ELECTROMA · Septiembre 2026. Migrado desde la pestaña '9. Sep' del archivo PRESUPUESTO 2026.</t>
  </si>
  <si>
    <t xml:space="preserve">Cómo está organizado</t>
  </si>
  <si>
    <t xml:space="preserve">1. Catálogos: listas fijas de empresas, medios, objetivos, actividades y partidas. Todo el archivo usa estos nombres.</t>
  </si>
  <si>
    <t xml:space="preserve">2. Insights: parámetros del mes, presupuesto por partida, calendario de actividades y KPIs.</t>
  </si>
  <si>
    <t xml:space="preserve">3. Plan: una fila por línea del plan. Es lo que se sube a Merkl.</t>
  </si>
  <si>
    <t xml:space="preserve">4. Control: gasto y resultado reales por línea, con costo real, cumplimiento, pendiente y ritmo diario.</t>
  </si>
  <si>
    <t xml:space="preserve">5. Resumen: por actividad, por partida de presupuesto y por medio.</t>
  </si>
  <si>
    <t xml:space="preserve">6. Revisar: diferencias encontradas al migrar, para confirmar con el equipo.</t>
  </si>
  <si>
    <t xml:space="preserve">Reglas</t>
  </si>
  <si>
    <t xml:space="preserve">• Celdas amarillas con texto azul = datos que se capturan. Texto negro = fórmulas, no se tocan.</t>
  </si>
  <si>
    <t xml:space="preserve">• Cada línea tiene un código único (ELE2609-001). El nombre de campaña en la plataforma debe empezar con ese código.</t>
  </si>
  <si>
    <t xml:space="preserve">• Formato del nombre de campaña: CÓDIGO | Actividad | Medio | Objetivo. Se arma solo en la columna 'Nombre de campaña'.</t>
  </si>
  <si>
    <t xml:space="preserve">• El tipo de costo lo define el objetivo: 'Por mil' (alcance, bumper, display) o 'Por unidad' (clics, mensajes, leads). 'Sin costo' usa el proyectado manual.</t>
  </si>
  <si>
    <t xml:space="preserve">• Fecha inicio y fecha fin siempre como fecha. Para envíos en días sueltos (WhatsApp, Mailing) se anotan en 'Fechas de envío'.</t>
  </si>
  <si>
    <t xml:space="preserve">• El alcance se mide en personas únicas y no se suma entre días, campañas ni meses: se consulta para el periodo completo de cada línea.</t>
  </si>
  <si>
    <t xml:space="preserve">• El gasto se captura en la moneda de la plataforma (USD para Meta, Google, YouTube, TikTok, LinkedIn y Basis; Q para Claro, iSoft y Mailjet). Merkl convierte a Q y $.</t>
  </si>
  <si>
    <t xml:space="preserve">Catálogos</t>
  </si>
  <si>
    <t xml:space="preserve">Empresa</t>
  </si>
  <si>
    <t xml:space="preserve">Código</t>
  </si>
  <si>
    <t xml:space="preserve">Moneda del plan</t>
  </si>
  <si>
    <t xml:space="preserve">Medio</t>
  </si>
  <si>
    <t xml:space="preserve">Plataforma</t>
  </si>
  <si>
    <t xml:space="preserve">Moneda del gasto</t>
  </si>
  <si>
    <t xml:space="preserve">Fuente de datos</t>
  </si>
  <si>
    <t xml:space="preserve">Objetivo</t>
  </si>
  <si>
    <t xml:space="preserve">Tipo de costo</t>
  </si>
  <si>
    <t xml:space="preserve">Resultado que se mide</t>
  </si>
  <si>
    <t xml:space="preserve">Actividad</t>
  </si>
  <si>
    <t xml:space="preserve">Tipo</t>
  </si>
  <si>
    <t xml:space="preserve">Partida de presupuesto</t>
  </si>
  <si>
    <t xml:space="preserve">Celasa Guatemala</t>
  </si>
  <si>
    <t xml:space="preserve">CGT</t>
  </si>
  <si>
    <t xml:space="preserve">GTQ</t>
  </si>
  <si>
    <t xml:space="preserve">Meta</t>
  </si>
  <si>
    <t xml:space="preserve">Meta Ads</t>
  </si>
  <si>
    <t xml:space="preserve">USD</t>
  </si>
  <si>
    <t xml:space="preserve">Porter</t>
  </si>
  <si>
    <t xml:space="preserve">Alcance</t>
  </si>
  <si>
    <t xml:space="preserve">Por mil</t>
  </si>
  <si>
    <t xml:space="preserve">Personas alcanzadas (únicas)</t>
  </si>
  <si>
    <t xml:space="preserve">Mantenimiento</t>
  </si>
  <si>
    <t xml:space="preserve">Siempre activa</t>
  </si>
  <si>
    <t xml:space="preserve">Meta FB e IG</t>
  </si>
  <si>
    <t xml:space="preserve">Celasa El Salvador</t>
  </si>
  <si>
    <t xml:space="preserve">CSV</t>
  </si>
  <si>
    <t xml:space="preserve">Google Ads</t>
  </si>
  <si>
    <t xml:space="preserve">Alcance geolocalizado</t>
  </si>
  <si>
    <t xml:space="preserve">Apoyo CC</t>
  </si>
  <si>
    <t xml:space="preserve">Google</t>
  </si>
  <si>
    <t xml:space="preserve">Electroma</t>
  </si>
  <si>
    <t xml:space="preserve">ELE</t>
  </si>
  <si>
    <t xml:space="preserve">YouTube</t>
  </si>
  <si>
    <t xml:space="preserve">Alcance / Video view</t>
  </si>
  <si>
    <t xml:space="preserve">Promo CC</t>
  </si>
  <si>
    <t xml:space="preserve">Oferta</t>
  </si>
  <si>
    <t xml:space="preserve">American</t>
  </si>
  <si>
    <t xml:space="preserve">AME</t>
  </si>
  <si>
    <t xml:space="preserve">TikTok</t>
  </si>
  <si>
    <t xml:space="preserve">TikTok Ads</t>
  </si>
  <si>
    <t xml:space="preserve">Bumper / Instream</t>
  </si>
  <si>
    <t xml:space="preserve">Electro Independencia</t>
  </si>
  <si>
    <t xml:space="preserve">Oferta principal</t>
  </si>
  <si>
    <t xml:space="preserve">LinkedIn</t>
  </si>
  <si>
    <t xml:space="preserve">Logistik</t>
  </si>
  <si>
    <t xml:space="preserve">LOG</t>
  </si>
  <si>
    <t xml:space="preserve">LinkedIn Ads</t>
  </si>
  <si>
    <t xml:space="preserve">Display programático</t>
  </si>
  <si>
    <t xml:space="preserve">Electro Days</t>
  </si>
  <si>
    <t xml:space="preserve">Programatic</t>
  </si>
  <si>
    <t xml:space="preserve">Basis</t>
  </si>
  <si>
    <t xml:space="preserve">Demand Gen · Alcance</t>
  </si>
  <si>
    <t xml:space="preserve">Talento Humano</t>
  </si>
  <si>
    <t xml:space="preserve">Extra</t>
  </si>
  <si>
    <t xml:space="preserve">Claro SMS</t>
  </si>
  <si>
    <t xml:space="preserve">Claro</t>
  </si>
  <si>
    <t xml:space="preserve">SMS geolocalizado</t>
  </si>
  <si>
    <t xml:space="preserve">SMS entregados</t>
  </si>
  <si>
    <t xml:space="preserve">Leads B2B</t>
  </si>
  <si>
    <t xml:space="preserve">B2B</t>
  </si>
  <si>
    <t xml:space="preserve">Whatsapp Isoft</t>
  </si>
  <si>
    <t xml:space="preserve">iSoft</t>
  </si>
  <si>
    <t xml:space="preserve">Interacción</t>
  </si>
  <si>
    <t xml:space="preserve">Por unidad</t>
  </si>
  <si>
    <t xml:space="preserve">Interacciones</t>
  </si>
  <si>
    <t xml:space="preserve">Capacitación</t>
  </si>
  <si>
    <t xml:space="preserve">Evento</t>
  </si>
  <si>
    <t xml:space="preserve">Tik Tok</t>
  </si>
  <si>
    <t xml:space="preserve">Mailjet</t>
  </si>
  <si>
    <t xml:space="preserve">Search · Clics</t>
  </si>
  <si>
    <t xml:space="preserve">Clics</t>
  </si>
  <si>
    <t xml:space="preserve">Demand Gen · Tráfico</t>
  </si>
  <si>
    <t xml:space="preserve">Tráfico a tiendas Geolocalizado</t>
  </si>
  <si>
    <t xml:space="preserve">Tráfico</t>
  </si>
  <si>
    <t xml:space="preserve">Clics al sitio</t>
  </si>
  <si>
    <t xml:space="preserve">Mundial</t>
  </si>
  <si>
    <t xml:space="preserve">Mensajes WhatsApp</t>
  </si>
  <si>
    <t xml:space="preserve">Conversaciones</t>
  </si>
  <si>
    <t xml:space="preserve">Extras</t>
  </si>
  <si>
    <t xml:space="preserve">Ventas</t>
  </si>
  <si>
    <t xml:space="preserve">Compras</t>
  </si>
  <si>
    <t xml:space="preserve">Sin costo</t>
  </si>
  <si>
    <t xml:space="preserve">Lead Forms</t>
  </si>
  <si>
    <t xml:space="preserve">Leads</t>
  </si>
  <si>
    <t xml:space="preserve">WhatsApp masivo</t>
  </si>
  <si>
    <t xml:space="preserve">Mensajes enviados</t>
  </si>
  <si>
    <t xml:space="preserve">SMS</t>
  </si>
  <si>
    <t xml:space="preserve">SMS enviados</t>
  </si>
  <si>
    <t xml:space="preserve">Mailing</t>
  </si>
  <si>
    <t xml:space="preserve">Correos enviados</t>
  </si>
  <si>
    <t xml:space="preserve">Insights · Electroma · Septiembre 2026</t>
  </si>
  <si>
    <t xml:space="preserve">Parámetro</t>
  </si>
  <si>
    <t xml:space="preserve">Valor</t>
  </si>
  <si>
    <t xml:space="preserve">Código de empresa</t>
  </si>
  <si>
    <t xml:space="preserve">Mes</t>
  </si>
  <si>
    <t xml:space="preserve">2026-09</t>
  </si>
  <si>
    <t xml:space="preserve">Tipo de cambio (Q por $)</t>
  </si>
  <si>
    <t xml:space="preserve">Fecha de corte del control</t>
  </si>
  <si>
    <t xml:space="preserve">Saldo anterior (Q)</t>
  </si>
  <si>
    <t xml:space="preserve">Presupuesto del mes (Q)</t>
  </si>
  <si>
    <t xml:space="preserve">Disponible (Q)</t>
  </si>
  <si>
    <t xml:space="preserve">Total</t>
  </si>
  <si>
    <t xml:space="preserve">Actividad del calendario</t>
  </si>
  <si>
    <t xml:space="preserve">Fecha inicio</t>
  </si>
  <si>
    <t xml:space="preserve">Fecha fin</t>
  </si>
  <si>
    <t xml:space="preserve">Revelación Electro Independencia</t>
  </si>
  <si>
    <t xml:space="preserve">Sale Capacitación</t>
  </si>
  <si>
    <t xml:space="preserve">Envío de capacitación</t>
  </si>
  <si>
    <t xml:space="preserve">KPI</t>
  </si>
  <si>
    <t xml:space="preserve">2024</t>
  </si>
  <si>
    <t xml:space="preserve">2025</t>
  </si>
  <si>
    <t xml:space="preserve">Meta 2026</t>
  </si>
  <si>
    <t xml:space="preserve">Crecimiento 2025 vs 2024</t>
  </si>
  <si>
    <t xml:space="preserve">Crecimiento meta vs 2025</t>
  </si>
  <si>
    <t xml:space="preserve">MQLs</t>
  </si>
  <si>
    <t xml:space="preserve">Usuarios web</t>
  </si>
  <si>
    <t xml:space="preserve">La meta 2026 venía vacía en el Excel original: llenarla para que Merkl mida contra ella.</t>
  </si>
  <si>
    <t xml:space="preserve">Plan de medios · Electroma · Septiembre 2026</t>
  </si>
  <si>
    <t xml:space="preserve">Una fila por línea. Amarillo = captura. El tipo de costo, la inversión en $, el proyectado y el nombre de campaña se calculan solos.</t>
  </si>
  <si>
    <t xml:space="preserve">Plan</t>
  </si>
  <si>
    <t xml:space="preserve">Fechas de envío</t>
  </si>
  <si>
    <t xml:space="preserve">Inversión Q</t>
  </si>
  <si>
    <t xml:space="preserve">Inversión $</t>
  </si>
  <si>
    <t xml:space="preserve">Costo estimado (Q)</t>
  </si>
  <si>
    <t xml:space="preserve">Proyectado manual</t>
  </si>
  <si>
    <t xml:space="preserve">Resultado proyectado</t>
  </si>
  <si>
    <t xml:space="preserve">Días</t>
  </si>
  <si>
    <t xml:space="preserve">Nombre de campaña</t>
  </si>
  <si>
    <t xml:space="preserve">ELE2609-001</t>
  </si>
  <si>
    <t xml:space="preserve">Principal</t>
  </si>
  <si>
    <t xml:space="preserve">ELE2609-002</t>
  </si>
  <si>
    <t xml:space="preserve">ELE2608-003</t>
  </si>
  <si>
    <t xml:space="preserve">ELE2609-004</t>
  </si>
  <si>
    <t xml:space="preserve">ELE2608-006</t>
  </si>
  <si>
    <t xml:space="preserve">ELE2609-006</t>
  </si>
  <si>
    <t xml:space="preserve">ELE2609-007</t>
  </si>
  <si>
    <t xml:space="preserve">ELE2609-008</t>
  </si>
  <si>
    <t xml:space="preserve">ELE2609-009</t>
  </si>
  <si>
    <t xml:space="preserve">ELE2609-010</t>
  </si>
  <si>
    <t xml:space="preserve">ELE2609-011</t>
  </si>
  <si>
    <t xml:space="preserve">ELE2609-012</t>
  </si>
  <si>
    <t xml:space="preserve">ELE2609-013</t>
  </si>
  <si>
    <t xml:space="preserve">ELE2609-014</t>
  </si>
  <si>
    <t xml:space="preserve">13 y 17</t>
  </si>
  <si>
    <t xml:space="preserve">ELE2609-015</t>
  </si>
  <si>
    <t xml:space="preserve">ELE2609-016</t>
  </si>
  <si>
    <t xml:space="preserve">ELE2609-017</t>
  </si>
  <si>
    <t xml:space="preserve">ELE2609-018</t>
  </si>
  <si>
    <t xml:space="preserve">ELE2609-019</t>
  </si>
  <si>
    <t xml:space="preserve">ELE2609-020</t>
  </si>
  <si>
    <t xml:space="preserve">ELE2609-021</t>
  </si>
  <si>
    <t xml:space="preserve">20 y 24</t>
  </si>
  <si>
    <t xml:space="preserve">ELE2609-022</t>
  </si>
  <si>
    <t xml:space="preserve">ELE2608-023</t>
  </si>
  <si>
    <t xml:space="preserve">ELE2609-024</t>
  </si>
  <si>
    <t xml:space="preserve">ELE2609-025</t>
  </si>
  <si>
    <t xml:space="preserve">ELE2608-002</t>
  </si>
  <si>
    <t xml:space="preserve">Arrastre</t>
  </si>
  <si>
    <t xml:space="preserve">Total del plan en el Excel original: Q65,694.13. Aquí suma Q454.21 más por la corrección confirmada de ELE2609-011 (Q2,756.61).</t>
  </si>
  <si>
    <t xml:space="preserve">Control de campañas · Electroma · Septiembre 2026</t>
  </si>
  <si>
    <t xml:space="preserve">Captura el gasto en la moneda de la plataforma y el resultado. En Merkl estas dos columnas llegarán solas desde Porter o desde el CSV.</t>
  </si>
  <si>
    <t xml:space="preserve">Partida</t>
  </si>
  <si>
    <t xml:space="preserve">Gastado en plataforma</t>
  </si>
  <si>
    <t xml:space="preserve">Resultado</t>
  </si>
  <si>
    <t xml:space="preserve">Gastado Q</t>
  </si>
  <si>
    <t xml:space="preserve">Gastado $</t>
  </si>
  <si>
    <t xml:space="preserve">Proyectado</t>
  </si>
  <si>
    <t xml:space="preserve">Costo estimado</t>
  </si>
  <si>
    <t xml:space="preserve">Costo real</t>
  </si>
  <si>
    <t xml:space="preserve">Cumplimiento</t>
  </si>
  <si>
    <t xml:space="preserve">Pendiente Q</t>
  </si>
  <si>
    <t xml:space="preserve">Pendiente $</t>
  </si>
  <si>
    <t xml:space="preserve">Opt. costo</t>
  </si>
  <si>
    <t xml:space="preserve">Días transcurridos</t>
  </si>
  <si>
    <t xml:space="preserve">Gasto diario plan</t>
  </si>
  <si>
    <t xml:space="preserve">Gasto diario real</t>
  </si>
  <si>
    <t xml:space="preserve">Resultado diario plan</t>
  </si>
  <si>
    <t xml:space="preserve">Resultado diario real</t>
  </si>
  <si>
    <t xml:space="preserve">Estado</t>
  </si>
  <si>
    <t xml:space="preserve">Gastado total en el Excel original: Q63,153.10. Puede variar unos quetzales por redondeo al convertir de $ a Q.</t>
  </si>
  <si>
    <t xml:space="preserve">Resumen · Electroma · Septiembre 2026</t>
  </si>
  <si>
    <t xml:space="preserve">Por actividad</t>
  </si>
  <si>
    <t xml:space="preserve">% del plan</t>
  </si>
  <si>
    <t xml:space="preserve">% ejecutado</t>
  </si>
  <si>
    <t xml:space="preserve">Por partida de presupuesto</t>
  </si>
  <si>
    <t xml:space="preserve">Disponible Q</t>
  </si>
  <si>
    <t xml:space="preserve">Planeado Q</t>
  </si>
  <si>
    <t xml:space="preserve">Disponible − planeado</t>
  </si>
  <si>
    <t xml:space="preserve">Planeado − gastado</t>
  </si>
  <si>
    <t xml:space="preserve">Por medio</t>
  </si>
  <si>
    <t xml:space="preserve">El resumen 'por medio' del Excel original en realidad era por partida de presupuesto; aquí quedan separados.</t>
  </si>
  <si>
    <t xml:space="preserve">Diferencias encontradas al migrar · confirmar con el equipo</t>
  </si>
  <si>
    <t xml:space="preserve">#</t>
  </si>
  <si>
    <t xml:space="preserve">Línea</t>
  </si>
  <si>
    <t xml:space="preserve">Qué encontré</t>
  </si>
  <si>
    <t xml:space="preserve">Cómo quedó en este archivo</t>
  </si>
  <si>
    <t xml:space="preserve">Confirmación del equipo</t>
  </si>
  <si>
    <t xml:space="preserve">ELE2609-006 Promo CC</t>
  </si>
  <si>
    <t xml:space="preserve">Con costo Q4.00 el proyectado es 500, pero el Excel decía 625 (equivale a Q3.20).</t>
  </si>
  <si>
    <t xml:space="preserve">Costo Q4.00 y proyectado 500.</t>
  </si>
  <si>
    <t xml:space="preserve">Confirmado: costo Q4.00, proyectado 500.</t>
  </si>
  <si>
    <t xml:space="preserve">ELE2609-011 Demand Gen Electro Independencia</t>
  </si>
  <si>
    <t xml:space="preserve">La inversión decía Q2,302.40 pero en dólares $351.16 (= Q2,756.61). Se gastaron Q2,748.83.</t>
  </si>
  <si>
    <t xml:space="preserve">Inversión corregida a Q2,756.61; el proyectado pasa a 352,507.</t>
  </si>
  <si>
    <t xml:space="preserve">Confirmado: Q2,756.61 era el monto correcto.</t>
  </si>
  <si>
    <t xml:space="preserve">ELE2609-011 y ELE2609-017 Demand Gen</t>
  </si>
  <si>
    <t xml:space="preserve">El mismo objetivo 'Dmand Gen' se usó por mil (alcance, Q7.82) y por unidad (Q0.035).</t>
  </si>
  <si>
    <t xml:space="preserve">Se separó en 'Demand Gen · Alcance' (por mil) y 'Demand Gen · Tráfico' (por unidad).</t>
  </si>
  <si>
    <t xml:space="preserve">Confirmado: Electro Days medía clics. Demand Gen ha salido más caro últimamente (real Q0.179 vs Q0.035 estimado): actualizar el costo de referencia en noviembre.</t>
  </si>
  <si>
    <t xml:space="preserve">ELE2609-025 WhatsApp Capacitación</t>
  </si>
  <si>
    <t xml:space="preserve">En el resumen por medio aparecía como 'LinkedIn' (Q1,065).</t>
  </si>
  <si>
    <t xml:space="preserve">Se dejó la partida LinkedIn, porque así se cargó al presupuesto.</t>
  </si>
  <si>
    <t xml:space="preserve">¿Se tomó presupuesto de LinkedIn a propósito?</t>
  </si>
  <si>
    <t xml:space="preserve">ELE2609-012/013 SMS geolocalizado</t>
  </si>
  <si>
    <t xml:space="preserve">Se cargaron a la partida 'Programatic'.</t>
  </si>
  <si>
    <t xml:space="preserve">Partida Programatic.</t>
  </si>
  <si>
    <t xml:space="preserve">¿Correcto?</t>
  </si>
  <si>
    <t xml:space="preserve">ELE2609-024 Tráfico Capacitación</t>
  </si>
  <si>
    <t xml:space="preserve">Se cargó a la partida 'Tráfico a tiendas'.</t>
  </si>
  <si>
    <t xml:space="preserve">Partida Tráfico a tiendas Geolocalizado.</t>
  </si>
  <si>
    <t xml:space="preserve">Envíos en días sueltos</t>
  </si>
  <si>
    <t xml:space="preserve">WhatsApp y Mailing con fechas '13 y 17' o '20 y 24'.</t>
  </si>
  <si>
    <t xml:space="preserve">Una sola línea con inicio y fin, y los días en 'Fechas de envío'.</t>
  </si>
  <si>
    <t xml:space="preserve">¿Prefieren una línea por envío?</t>
  </si>
  <si>
    <t xml:space="preserve">Costo Q0 con proyectado fijo de 4,500.</t>
  </si>
  <si>
    <t xml:space="preserve">Objetivo 'Mailing' sin costo; el proyectado se captura en 'Proyectado manual'.</t>
  </si>
  <si>
    <t xml:space="preserve">—</t>
  </si>
  <si>
    <t xml:space="preserve">Varias líneas</t>
  </si>
  <si>
    <t xml:space="preserve">Costos escritos como texto ('Q3.500') generaban error en Opt Costo.</t>
  </si>
  <si>
    <t xml:space="preserve">Todos los costos quedaron como número.</t>
  </si>
  <si>
    <t xml:space="preserve">Presupuesto</t>
  </si>
  <si>
    <t xml:space="preserve">El plan (Q66,148.34) supera lo disponible del mes (Q60,749.32).</t>
  </si>
  <si>
    <t xml:space="preserve">Se ve en Resumen, columna 'Disponible − planeado'.</t>
  </si>
  <si>
    <t xml:space="preserve">¿Había un monto extra aprobado?</t>
  </si>
  <si>
    <t xml:space="preserve">Continuaciones de agosto</t>
  </si>
  <si>
    <t xml:space="preserve">Search (003), Apoyo CC (006) y Leads B2B (023) de agosto siguieron corriendo en septiembre.</t>
  </si>
  <si>
    <t xml:space="preserve">Las líneas de septiembre conservan su código de agosto: ELE2608-003, ELE2608-006 y ELE2608-023.</t>
  </si>
  <si>
    <t xml:space="preserve">Confirmado con Porter: el gasto coincide.</t>
  </si>
  <si>
    <t xml:space="preserve">ELE2608-002 arrastre</t>
  </si>
  <si>
    <t xml:space="preserve">La Interacción de agosto gastó $9.16 en septiembre; el Excel lo sumaba a la Interacción nueva.</t>
  </si>
  <si>
    <t xml:space="preserve">Línea de arrastre con inversión cero. La 002 de septiembre queda con $335.65; su resultado aún incluye el arrastre.</t>
  </si>
  <si>
    <t xml:space="preserve">Merkl separará el resultado exacto al conectar Porter.</t>
  </si>
  <si>
    <t xml:space="preserve">KPIs</t>
  </si>
  <si>
    <t xml:space="preserve">La meta 2026 venía vacía.</t>
  </si>
  <si>
    <t xml:space="preserve">Columna 'Meta 2026' lista para llenar en Insights.</t>
  </si>
  <si>
    <t xml:space="preserve">Definir metas.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</si>
</sst>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dd/mm/yyyy"/>
    <numFmt numFmtId="167" formatCode="\Q#,##0.00"/>
    <numFmt numFmtId="168" formatCode="#,##0"/>
    <numFmt numFmtId="169" formatCode="0.0%"/>
    <numFmt numFmtId="170" formatCode="\$#,##0.00"/>
    <numFmt numFmtId="171" formatCode="\Q#,##0.000"/>
    <numFmt numFmtId="172" formatCode="0"/>
    <numFmt numFmtId="173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9DB"/>
        <bgColor rgb="FFFFF3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FFF3CD"/>
        </patternFill>
      </fill>
    </dxf>
    <dxf>
      <font>
        <name val="Arial"/>
        <charset val="1"/>
        <family val="0"/>
        <color rgb="FFC00000"/>
        <sz val="1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3CD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3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3"/>
    <col collapsed="false" customWidth="true" hidden="false" outlineLevel="0" max="10" min="10" style="0" width="24"/>
    <col collapsed="false" customWidth="true" hidden="false" outlineLevel="0" max="11" min="11" style="0" width="13"/>
    <col collapsed="false" customWidth="true" hidden="false" outlineLevel="0" max="12" min="12" style="0" width="22"/>
    <col collapsed="false" customWidth="true" hidden="false" outlineLevel="0" max="13" min="13" style="0" width="3"/>
    <col collapsed="false" customWidth="true" hidden="false" outlineLevel="0" max="14" min="14" style="0" width="22"/>
    <col collapsed="false" customWidth="true" hidden="false" outlineLevel="0" max="15" min="15" style="0" width="16"/>
    <col collapsed="false" customWidth="true" hidden="false" outlineLevel="0" max="16" min="16" style="0" width="3"/>
    <col collapsed="false" customWidth="true" hidden="false" outlineLevel="0" max="17" min="17" style="0" width="30"/>
  </cols>
  <sheetData>
    <row r="1" customFormat="false" ht="17.35" hidden="false" customHeight="false" outlineLevel="0" collapsed="false">
      <c r="A1" s="1" t="s">
        <v>17</v>
      </c>
    </row>
    <row r="3" customFormat="false" ht="23.85" hidden="false" customHeight="false" outlineLevel="0" collapsed="false">
      <c r="A3" s="4" t="s">
        <v>18</v>
      </c>
      <c r="B3" s="4" t="s">
        <v>19</v>
      </c>
      <c r="C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J3" s="4" t="s">
        <v>25</v>
      </c>
      <c r="K3" s="4" t="s">
        <v>26</v>
      </c>
      <c r="L3" s="4" t="s">
        <v>27</v>
      </c>
      <c r="N3" s="4" t="s">
        <v>28</v>
      </c>
      <c r="O3" s="4" t="s">
        <v>29</v>
      </c>
      <c r="Q3" s="4" t="s">
        <v>30</v>
      </c>
    </row>
    <row r="4" customFormat="false" ht="23.85" hidden="false" customHeight="false" outlineLevel="0" collapsed="false">
      <c r="A4" s="5" t="s">
        <v>31</v>
      </c>
      <c r="B4" s="5" t="s">
        <v>32</v>
      </c>
      <c r="C4" s="5" t="s">
        <v>33</v>
      </c>
      <c r="E4" s="5" t="s">
        <v>34</v>
      </c>
      <c r="F4" s="5" t="s">
        <v>35</v>
      </c>
      <c r="G4" s="5" t="s">
        <v>36</v>
      </c>
      <c r="H4" s="5" t="s">
        <v>37</v>
      </c>
      <c r="J4" s="5" t="s">
        <v>38</v>
      </c>
      <c r="K4" s="5" t="s">
        <v>39</v>
      </c>
      <c r="L4" s="5" t="s">
        <v>40</v>
      </c>
      <c r="N4" s="5" t="s">
        <v>41</v>
      </c>
      <c r="O4" s="5" t="s">
        <v>42</v>
      </c>
      <c r="Q4" s="5" t="s">
        <v>43</v>
      </c>
    </row>
    <row r="5" customFormat="false" ht="23.85" hidden="false" customHeight="false" outlineLevel="0" collapsed="false">
      <c r="A5" s="5" t="s">
        <v>44</v>
      </c>
      <c r="B5" s="5" t="s">
        <v>45</v>
      </c>
      <c r="C5" s="5" t="s">
        <v>36</v>
      </c>
      <c r="E5" s="5" t="s">
        <v>46</v>
      </c>
      <c r="F5" s="5" t="s">
        <v>46</v>
      </c>
      <c r="G5" s="5" t="s">
        <v>36</v>
      </c>
      <c r="H5" s="5" t="s">
        <v>37</v>
      </c>
      <c r="J5" s="5" t="s">
        <v>47</v>
      </c>
      <c r="K5" s="5" t="s">
        <v>39</v>
      </c>
      <c r="L5" s="5" t="s">
        <v>40</v>
      </c>
      <c r="N5" s="5" t="s">
        <v>48</v>
      </c>
      <c r="O5" s="5" t="s">
        <v>42</v>
      </c>
      <c r="Q5" s="5" t="s">
        <v>49</v>
      </c>
    </row>
    <row r="6" customFormat="false" ht="23.85" hidden="false" customHeight="false" outlineLevel="0" collapsed="false">
      <c r="A6" s="5" t="s">
        <v>50</v>
      </c>
      <c r="B6" s="5" t="s">
        <v>51</v>
      </c>
      <c r="C6" s="5" t="s">
        <v>33</v>
      </c>
      <c r="E6" s="5" t="s">
        <v>52</v>
      </c>
      <c r="F6" s="5" t="s">
        <v>46</v>
      </c>
      <c r="G6" s="5" t="s">
        <v>36</v>
      </c>
      <c r="H6" s="5" t="s">
        <v>37</v>
      </c>
      <c r="J6" s="5" t="s">
        <v>53</v>
      </c>
      <c r="K6" s="5" t="s">
        <v>39</v>
      </c>
      <c r="L6" s="5" t="s">
        <v>40</v>
      </c>
      <c r="N6" s="5" t="s">
        <v>54</v>
      </c>
      <c r="O6" s="5" t="s">
        <v>55</v>
      </c>
      <c r="Q6" s="5" t="s">
        <v>52</v>
      </c>
    </row>
    <row r="7" customFormat="false" ht="23.85" hidden="false" customHeight="false" outlineLevel="0" collapsed="false">
      <c r="A7" s="5" t="s">
        <v>56</v>
      </c>
      <c r="B7" s="5" t="s">
        <v>57</v>
      </c>
      <c r="C7" s="5" t="s">
        <v>33</v>
      </c>
      <c r="E7" s="5" t="s">
        <v>58</v>
      </c>
      <c r="F7" s="5" t="s">
        <v>59</v>
      </c>
      <c r="G7" s="5" t="s">
        <v>36</v>
      </c>
      <c r="H7" s="5" t="s">
        <v>37</v>
      </c>
      <c r="J7" s="5" t="s">
        <v>60</v>
      </c>
      <c r="K7" s="5" t="s">
        <v>39</v>
      </c>
      <c r="L7" s="5" t="s">
        <v>40</v>
      </c>
      <c r="N7" s="5" t="s">
        <v>61</v>
      </c>
      <c r="O7" s="5" t="s">
        <v>62</v>
      </c>
      <c r="Q7" s="5" t="s">
        <v>63</v>
      </c>
    </row>
    <row r="8" customFormat="false" ht="23.85" hidden="false" customHeight="false" outlineLevel="0" collapsed="false">
      <c r="A8" s="5" t="s">
        <v>64</v>
      </c>
      <c r="B8" s="5" t="s">
        <v>65</v>
      </c>
      <c r="C8" s="5" t="s">
        <v>33</v>
      </c>
      <c r="E8" s="5" t="s">
        <v>63</v>
      </c>
      <c r="F8" s="5" t="s">
        <v>66</v>
      </c>
      <c r="G8" s="5" t="s">
        <v>36</v>
      </c>
      <c r="H8" s="5" t="s">
        <v>37</v>
      </c>
      <c r="J8" s="5" t="s">
        <v>67</v>
      </c>
      <c r="K8" s="5" t="s">
        <v>39</v>
      </c>
      <c r="L8" s="5" t="s">
        <v>40</v>
      </c>
      <c r="N8" s="5" t="s">
        <v>68</v>
      </c>
      <c r="O8" s="5" t="s">
        <v>55</v>
      </c>
      <c r="Q8" s="5" t="s">
        <v>69</v>
      </c>
    </row>
    <row r="9" customFormat="false" ht="23.85" hidden="false" customHeight="false" outlineLevel="0" collapsed="false">
      <c r="E9" s="5" t="s">
        <v>70</v>
      </c>
      <c r="F9" s="5" t="s">
        <v>70</v>
      </c>
      <c r="G9" s="5" t="s">
        <v>36</v>
      </c>
      <c r="H9" s="5" t="s">
        <v>45</v>
      </c>
      <c r="J9" s="5" t="s">
        <v>71</v>
      </c>
      <c r="K9" s="5" t="s">
        <v>39</v>
      </c>
      <c r="L9" s="5" t="s">
        <v>40</v>
      </c>
      <c r="N9" s="5" t="s">
        <v>72</v>
      </c>
      <c r="O9" s="5" t="s">
        <v>73</v>
      </c>
      <c r="Q9" s="5" t="s">
        <v>74</v>
      </c>
    </row>
    <row r="10" customFormat="false" ht="15" hidden="false" customHeight="false" outlineLevel="0" collapsed="false">
      <c r="E10" s="5" t="s">
        <v>75</v>
      </c>
      <c r="F10" s="5" t="s">
        <v>75</v>
      </c>
      <c r="G10" s="5" t="s">
        <v>33</v>
      </c>
      <c r="H10" s="5" t="s">
        <v>45</v>
      </c>
      <c r="J10" s="5" t="s">
        <v>76</v>
      </c>
      <c r="K10" s="5" t="s">
        <v>39</v>
      </c>
      <c r="L10" s="5" t="s">
        <v>77</v>
      </c>
      <c r="N10" s="5" t="s">
        <v>78</v>
      </c>
      <c r="O10" s="5" t="s">
        <v>79</v>
      </c>
      <c r="Q10" s="5" t="s">
        <v>80</v>
      </c>
    </row>
    <row r="11" customFormat="false" ht="15" hidden="false" customHeight="false" outlineLevel="0" collapsed="false">
      <c r="E11" s="5" t="s">
        <v>81</v>
      </c>
      <c r="F11" s="5" t="s">
        <v>81</v>
      </c>
      <c r="G11" s="5" t="s">
        <v>33</v>
      </c>
      <c r="H11" s="5" t="s">
        <v>45</v>
      </c>
      <c r="J11" s="5" t="s">
        <v>82</v>
      </c>
      <c r="K11" s="5" t="s">
        <v>83</v>
      </c>
      <c r="L11" s="5" t="s">
        <v>84</v>
      </c>
      <c r="N11" s="5" t="s">
        <v>85</v>
      </c>
      <c r="O11" s="5" t="s">
        <v>86</v>
      </c>
      <c r="Q11" s="5" t="s">
        <v>87</v>
      </c>
    </row>
    <row r="12" customFormat="false" ht="15" hidden="false" customHeight="false" outlineLevel="0" collapsed="false">
      <c r="E12" s="5" t="s">
        <v>88</v>
      </c>
      <c r="F12" s="5" t="s">
        <v>88</v>
      </c>
      <c r="G12" s="5" t="s">
        <v>33</v>
      </c>
      <c r="H12" s="5" t="s">
        <v>45</v>
      </c>
      <c r="J12" s="5" t="s">
        <v>89</v>
      </c>
      <c r="K12" s="5" t="s">
        <v>83</v>
      </c>
      <c r="L12" s="5" t="s">
        <v>90</v>
      </c>
      <c r="Q12" s="5" t="s">
        <v>78</v>
      </c>
    </row>
    <row r="13" customFormat="false" ht="15" hidden="false" customHeight="false" outlineLevel="0" collapsed="false">
      <c r="J13" s="5" t="s">
        <v>91</v>
      </c>
      <c r="K13" s="5" t="s">
        <v>83</v>
      </c>
      <c r="L13" s="5" t="s">
        <v>90</v>
      </c>
      <c r="Q13" s="5" t="s">
        <v>92</v>
      </c>
    </row>
    <row r="14" customFormat="false" ht="15" hidden="false" customHeight="false" outlineLevel="0" collapsed="false">
      <c r="J14" s="5" t="s">
        <v>93</v>
      </c>
      <c r="K14" s="5" t="s">
        <v>83</v>
      </c>
      <c r="L14" s="5" t="s">
        <v>94</v>
      </c>
      <c r="Q14" s="5" t="s">
        <v>95</v>
      </c>
    </row>
    <row r="15" customFormat="false" ht="15" hidden="false" customHeight="false" outlineLevel="0" collapsed="false">
      <c r="J15" s="5" t="s">
        <v>96</v>
      </c>
      <c r="K15" s="5" t="s">
        <v>83</v>
      </c>
      <c r="L15" s="5" t="s">
        <v>97</v>
      </c>
      <c r="Q15" s="5" t="s">
        <v>98</v>
      </c>
    </row>
    <row r="16" customFormat="false" ht="15" hidden="false" customHeight="false" outlineLevel="0" collapsed="false">
      <c r="J16" s="5" t="s">
        <v>99</v>
      </c>
      <c r="K16" s="5" t="s">
        <v>83</v>
      </c>
      <c r="L16" s="5" t="s">
        <v>100</v>
      </c>
      <c r="Q16" s="5" t="s">
        <v>101</v>
      </c>
    </row>
    <row r="17" customFormat="false" ht="15" hidden="false" customHeight="false" outlineLevel="0" collapsed="false">
      <c r="J17" s="5" t="s">
        <v>102</v>
      </c>
      <c r="K17" s="5" t="s">
        <v>83</v>
      </c>
      <c r="L17" s="5" t="s">
        <v>103</v>
      </c>
    </row>
    <row r="18" customFormat="false" ht="15" hidden="false" customHeight="false" outlineLevel="0" collapsed="false">
      <c r="J18" s="5" t="s">
        <v>104</v>
      </c>
      <c r="K18" s="5" t="s">
        <v>83</v>
      </c>
      <c r="L18" s="5" t="s">
        <v>105</v>
      </c>
    </row>
    <row r="19" customFormat="false" ht="15" hidden="false" customHeight="false" outlineLevel="0" collapsed="false">
      <c r="J19" s="5" t="s">
        <v>106</v>
      </c>
      <c r="K19" s="5" t="s">
        <v>83</v>
      </c>
      <c r="L19" s="5" t="s">
        <v>107</v>
      </c>
    </row>
    <row r="20" customFormat="false" ht="15" hidden="false" customHeight="false" outlineLevel="0" collapsed="false">
      <c r="J20" s="5" t="s">
        <v>108</v>
      </c>
      <c r="K20" s="5" t="s">
        <v>101</v>
      </c>
      <c r="L20" s="5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6" min="5" style="0" width="22"/>
  </cols>
  <sheetData>
    <row r="1" customFormat="false" ht="17.35" hidden="false" customHeight="false" outlineLevel="0" collapsed="false">
      <c r="A1" s="1" t="s">
        <v>110</v>
      </c>
    </row>
    <row r="3" customFormat="false" ht="15" hidden="false" customHeight="false" outlineLevel="0" collapsed="false">
      <c r="A3" s="4" t="s">
        <v>111</v>
      </c>
      <c r="B3" s="4" t="s">
        <v>112</v>
      </c>
    </row>
    <row r="4" customFormat="false" ht="15" hidden="false" customHeight="false" outlineLevel="0" collapsed="false">
      <c r="A4" s="5" t="s">
        <v>18</v>
      </c>
      <c r="B4" s="6" t="s">
        <v>50</v>
      </c>
    </row>
    <row r="5" customFormat="false" ht="15" hidden="false" customHeight="false" outlineLevel="0" collapsed="false">
      <c r="A5" s="5" t="s">
        <v>113</v>
      </c>
      <c r="B5" s="6" t="s">
        <v>51</v>
      </c>
    </row>
    <row r="6" customFormat="false" ht="15" hidden="false" customHeight="false" outlineLevel="0" collapsed="false">
      <c r="A6" s="5" t="s">
        <v>114</v>
      </c>
      <c r="B6" s="6" t="s">
        <v>115</v>
      </c>
    </row>
    <row r="7" customFormat="false" ht="15" hidden="false" customHeight="false" outlineLevel="0" collapsed="false">
      <c r="A7" s="5" t="s">
        <v>116</v>
      </c>
      <c r="B7" s="7" t="n">
        <v>7.85</v>
      </c>
    </row>
    <row r="8" customFormat="false" ht="15" hidden="false" customHeight="false" outlineLevel="0" collapsed="false">
      <c r="A8" s="5" t="s">
        <v>117</v>
      </c>
      <c r="B8" s="8" t="n">
        <v>46295</v>
      </c>
    </row>
    <row r="11" customFormat="false" ht="23.85" hidden="false" customHeight="false" outlineLevel="0" collapsed="false">
      <c r="A11" s="4" t="s">
        <v>30</v>
      </c>
      <c r="B11" s="4" t="s">
        <v>118</v>
      </c>
      <c r="C11" s="4" t="s">
        <v>119</v>
      </c>
      <c r="D11" s="4" t="s">
        <v>120</v>
      </c>
    </row>
    <row r="12" customFormat="false" ht="15" hidden="false" customHeight="false" outlineLevel="0" collapsed="false">
      <c r="A12" s="5" t="s">
        <v>43</v>
      </c>
      <c r="B12" s="9" t="n">
        <v>7672.4626</v>
      </c>
      <c r="C12" s="9" t="n">
        <v>23000</v>
      </c>
      <c r="D12" s="10" t="n">
        <f aca="false">B12+C12</f>
        <v>30672.4626</v>
      </c>
    </row>
    <row r="13" customFormat="false" ht="15" hidden="false" customHeight="false" outlineLevel="0" collapsed="false">
      <c r="A13" s="5" t="s">
        <v>49</v>
      </c>
      <c r="B13" s="9" t="n">
        <v>-9351.8145</v>
      </c>
      <c r="C13" s="9" t="n">
        <v>13268.89</v>
      </c>
      <c r="D13" s="10" t="n">
        <f aca="false">B13+C13</f>
        <v>3917.0755</v>
      </c>
    </row>
    <row r="14" customFormat="false" ht="15" hidden="false" customHeight="false" outlineLevel="0" collapsed="false">
      <c r="A14" s="5" t="s">
        <v>52</v>
      </c>
      <c r="B14" s="9" t="n">
        <v>-12879.5465</v>
      </c>
      <c r="C14" s="9" t="n">
        <v>3922.22</v>
      </c>
      <c r="D14" s="10" t="n">
        <f aca="false">B14+C14</f>
        <v>-8957.3265</v>
      </c>
    </row>
    <row r="15" customFormat="false" ht="15" hidden="false" customHeight="false" outlineLevel="0" collapsed="false">
      <c r="A15" s="5" t="s">
        <v>63</v>
      </c>
      <c r="B15" s="9" t="n">
        <v>7000.6165</v>
      </c>
      <c r="C15" s="9" t="n">
        <v>2000</v>
      </c>
      <c r="D15" s="10" t="n">
        <f aca="false">B15+C15</f>
        <v>9000.6165</v>
      </c>
    </row>
    <row r="16" customFormat="false" ht="15" hidden="false" customHeight="false" outlineLevel="0" collapsed="false">
      <c r="A16" s="5" t="s">
        <v>69</v>
      </c>
      <c r="B16" s="9" t="n">
        <v>-1013.327</v>
      </c>
      <c r="C16" s="9" t="n">
        <v>2285.71</v>
      </c>
      <c r="D16" s="10" t="n">
        <f aca="false">B16+C16</f>
        <v>1272.383</v>
      </c>
    </row>
    <row r="17" customFormat="false" ht="15" hidden="false" customHeight="false" outlineLevel="0" collapsed="false">
      <c r="A17" s="5" t="s">
        <v>74</v>
      </c>
      <c r="B17" s="9" t="n">
        <v>-1089.28</v>
      </c>
      <c r="C17" s="9" t="n">
        <v>480</v>
      </c>
      <c r="D17" s="10" t="n">
        <f aca="false">B17+C17</f>
        <v>-609.28</v>
      </c>
    </row>
    <row r="18" customFormat="false" ht="15" hidden="false" customHeight="false" outlineLevel="0" collapsed="false">
      <c r="A18" s="5" t="s">
        <v>80</v>
      </c>
      <c r="B18" s="9" t="n">
        <v>-8807.5221</v>
      </c>
      <c r="C18" s="9" t="n">
        <v>5000</v>
      </c>
      <c r="D18" s="10" t="n">
        <f aca="false">B18+C18</f>
        <v>-3807.5221</v>
      </c>
    </row>
    <row r="19" customFormat="false" ht="15" hidden="false" customHeight="false" outlineLevel="0" collapsed="false">
      <c r="A19" s="5" t="s">
        <v>87</v>
      </c>
      <c r="B19" s="9" t="n">
        <v>8846.2015</v>
      </c>
      <c r="C19" s="9" t="n">
        <v>3973.33</v>
      </c>
      <c r="D19" s="10" t="n">
        <f aca="false">B19+C19</f>
        <v>12819.5315</v>
      </c>
    </row>
    <row r="20" customFormat="false" ht="15" hidden="false" customHeight="false" outlineLevel="0" collapsed="false">
      <c r="A20" s="5" t="s">
        <v>78</v>
      </c>
      <c r="B20" s="9" t="n">
        <v>9566.458714</v>
      </c>
      <c r="C20" s="9" t="n">
        <v>3571.428571</v>
      </c>
      <c r="D20" s="10" t="n">
        <f aca="false">B20+C20</f>
        <v>13137.887285</v>
      </c>
    </row>
    <row r="21" customFormat="false" ht="15" hidden="false" customHeight="false" outlineLevel="0" collapsed="false">
      <c r="A21" s="5" t="s">
        <v>92</v>
      </c>
      <c r="B21" s="9" t="n">
        <v>3789.329714</v>
      </c>
      <c r="C21" s="9" t="n">
        <v>3571.428571</v>
      </c>
      <c r="D21" s="10" t="n">
        <f aca="false">B21+C21</f>
        <v>7360.758285</v>
      </c>
    </row>
    <row r="22" customFormat="false" ht="15" hidden="false" customHeight="false" outlineLevel="0" collapsed="false">
      <c r="A22" s="5" t="s">
        <v>95</v>
      </c>
      <c r="B22" s="9" t="n">
        <v>-4057.263</v>
      </c>
      <c r="C22" s="9" t="n">
        <v>0</v>
      </c>
      <c r="D22" s="10" t="n">
        <f aca="false">B22+C22</f>
        <v>-4057.263</v>
      </c>
    </row>
    <row r="23" customFormat="false" ht="15" hidden="false" customHeight="false" outlineLevel="0" collapsed="false">
      <c r="A23" s="5" t="s">
        <v>98</v>
      </c>
      <c r="B23" s="9" t="n">
        <v>0</v>
      </c>
      <c r="C23" s="9" t="n">
        <v>0</v>
      </c>
      <c r="D23" s="10" t="n">
        <f aca="false">B23+C23</f>
        <v>0</v>
      </c>
    </row>
    <row r="24" customFormat="false" ht="15" hidden="false" customHeight="false" outlineLevel="0" collapsed="false">
      <c r="A24" s="11" t="s">
        <v>121</v>
      </c>
      <c r="B24" s="12" t="n">
        <f aca="false">SUM(B12:B23)</f>
        <v>-323.684072000001</v>
      </c>
      <c r="C24" s="12" t="n">
        <f aca="false">SUM(C12:C23)</f>
        <v>61073.007142</v>
      </c>
      <c r="D24" s="12" t="n">
        <f aca="false">SUM(D12:D23)</f>
        <v>60749.32307</v>
      </c>
    </row>
    <row r="27" customFormat="false" ht="15" hidden="false" customHeight="false" outlineLevel="0" collapsed="false">
      <c r="A27" s="4" t="s">
        <v>122</v>
      </c>
      <c r="B27" s="4" t="s">
        <v>123</v>
      </c>
      <c r="C27" s="4" t="s">
        <v>124</v>
      </c>
    </row>
    <row r="28" customFormat="false" ht="15" hidden="false" customHeight="false" outlineLevel="0" collapsed="false">
      <c r="A28" s="6" t="s">
        <v>125</v>
      </c>
      <c r="B28" s="8" t="n">
        <v>46275</v>
      </c>
      <c r="C28" s="8" t="n">
        <v>46275</v>
      </c>
    </row>
    <row r="29" customFormat="false" ht="15" hidden="false" customHeight="false" outlineLevel="0" collapsed="false">
      <c r="A29" s="6" t="s">
        <v>78</v>
      </c>
      <c r="B29" s="8" t="n">
        <v>46280</v>
      </c>
      <c r="C29" s="8" t="n">
        <v>46295</v>
      </c>
    </row>
    <row r="30" customFormat="false" ht="15" hidden="false" customHeight="false" outlineLevel="0" collapsed="false">
      <c r="A30" s="6" t="s">
        <v>61</v>
      </c>
      <c r="B30" s="8" t="n">
        <v>46281</v>
      </c>
      <c r="C30" s="8" t="n">
        <v>46284</v>
      </c>
    </row>
    <row r="31" customFormat="false" ht="15" hidden="false" customHeight="false" outlineLevel="0" collapsed="false">
      <c r="A31" s="6" t="s">
        <v>68</v>
      </c>
      <c r="B31" s="8" t="n">
        <v>46285</v>
      </c>
      <c r="C31" s="8" t="n">
        <v>46291</v>
      </c>
    </row>
    <row r="32" customFormat="false" ht="15" hidden="false" customHeight="false" outlineLevel="0" collapsed="false">
      <c r="A32" s="6" t="s">
        <v>54</v>
      </c>
      <c r="B32" s="8" t="n">
        <v>46286</v>
      </c>
      <c r="C32" s="8" t="n">
        <v>46291</v>
      </c>
    </row>
    <row r="33" customFormat="false" ht="15" hidden="false" customHeight="false" outlineLevel="0" collapsed="false">
      <c r="A33" s="6" t="s">
        <v>126</v>
      </c>
      <c r="B33" s="8" t="n">
        <v>46288</v>
      </c>
      <c r="C33" s="8" t="n">
        <v>46288</v>
      </c>
    </row>
    <row r="34" customFormat="false" ht="15" hidden="false" customHeight="false" outlineLevel="0" collapsed="false">
      <c r="A34" s="6" t="s">
        <v>127</v>
      </c>
      <c r="B34" s="8" t="n">
        <v>46294</v>
      </c>
      <c r="C34" s="8" t="n">
        <v>46294</v>
      </c>
    </row>
    <row r="35" customFormat="false" ht="15" hidden="false" customHeight="false" outlineLevel="0" collapsed="false">
      <c r="A35" s="6" t="s">
        <v>85</v>
      </c>
      <c r="B35" s="8" t="n">
        <v>46294</v>
      </c>
      <c r="C35" s="8" t="n">
        <v>46294</v>
      </c>
    </row>
    <row r="38" customFormat="false" ht="23.85" hidden="false" customHeight="false" outlineLevel="0" collapsed="false">
      <c r="A38" s="4" t="s">
        <v>128</v>
      </c>
      <c r="B38" s="4" t="s">
        <v>129</v>
      </c>
      <c r="C38" s="4" t="s">
        <v>130</v>
      </c>
      <c r="D38" s="4" t="s">
        <v>131</v>
      </c>
      <c r="E38" s="4" t="s">
        <v>132</v>
      </c>
      <c r="F38" s="4" t="s">
        <v>133</v>
      </c>
    </row>
    <row r="39" customFormat="false" ht="15" hidden="false" customHeight="false" outlineLevel="0" collapsed="false">
      <c r="A39" s="5" t="s">
        <v>38</v>
      </c>
      <c r="B39" s="13" t="n">
        <v>5136036</v>
      </c>
      <c r="C39" s="13" t="n">
        <v>8773997</v>
      </c>
      <c r="D39" s="13"/>
      <c r="E39" s="14" t="n">
        <f aca="false">IF(B39=0,"",C39/B39-1)</f>
        <v>0.708320775010144</v>
      </c>
      <c r="F39" s="14" t="str">
        <f aca="false">IF(OR(D39="",C39=0),"",D39/C39-1)</f>
        <v/>
      </c>
    </row>
    <row r="40" customFormat="false" ht="15" hidden="false" customHeight="false" outlineLevel="0" collapsed="false">
      <c r="A40" s="5" t="s">
        <v>134</v>
      </c>
      <c r="B40" s="13" t="n">
        <v>5958</v>
      </c>
      <c r="C40" s="13" t="n">
        <v>15335</v>
      </c>
      <c r="D40" s="13"/>
      <c r="E40" s="14" t="n">
        <f aca="false">IF(B40=0,"",C40/B40-1)</f>
        <v>1.57385028533065</v>
      </c>
      <c r="F40" s="14" t="str">
        <f aca="false">IF(OR(D40="",C40=0),"",D40/C40-1)</f>
        <v/>
      </c>
    </row>
    <row r="41" customFormat="false" ht="15" hidden="false" customHeight="false" outlineLevel="0" collapsed="false">
      <c r="A41" s="5" t="s">
        <v>82</v>
      </c>
      <c r="B41" s="13" t="n">
        <v>215696</v>
      </c>
      <c r="C41" s="13" t="n">
        <v>259094</v>
      </c>
      <c r="D41" s="13"/>
      <c r="E41" s="14" t="n">
        <f aca="false">IF(B41=0,"",C41/B41-1)</f>
        <v>0.201199836807358</v>
      </c>
      <c r="F41" s="14" t="str">
        <f aca="false">IF(OR(D41="",C41=0),"",D41/C41-1)</f>
        <v/>
      </c>
    </row>
    <row r="42" customFormat="false" ht="15" hidden="false" customHeight="false" outlineLevel="0" collapsed="false">
      <c r="A42" s="5" t="s">
        <v>135</v>
      </c>
      <c r="B42" s="13" t="n">
        <v>59879</v>
      </c>
      <c r="C42" s="13" t="n">
        <v>96062</v>
      </c>
      <c r="D42" s="13"/>
      <c r="E42" s="14" t="n">
        <f aca="false">IF(B42=0,"",C42/B42-1)</f>
        <v>0.604268608360193</v>
      </c>
      <c r="F42" s="14" t="str">
        <f aca="false">IF(OR(D42="",C42=0),"",D42/C42-1)</f>
        <v/>
      </c>
    </row>
    <row r="43" customFormat="false" ht="15" hidden="false" customHeight="false" outlineLevel="0" collapsed="false">
      <c r="A43" s="15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21"/>
    <col collapsed="false" customWidth="true" hidden="false" outlineLevel="0" max="11" min="11" style="0" width="24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6" min="14" style="0" width="11"/>
    <col collapsed="false" customWidth="true" hidden="false" outlineLevel="0" max="17" min="17" style="0" width="13"/>
    <col collapsed="false" customWidth="true" hidden="false" outlineLevel="0" max="18" min="18" style="0" width="6"/>
    <col collapsed="false" customWidth="true" hidden="false" outlineLevel="0" max="19" min="19" style="0" width="62"/>
  </cols>
  <sheetData>
    <row r="1" customFormat="false" ht="17.35" hidden="false" customHeight="false" outlineLevel="0" collapsed="false">
      <c r="A1" s="1" t="s">
        <v>137</v>
      </c>
    </row>
    <row r="2" customFormat="false" ht="15" hidden="false" customHeight="false" outlineLevel="0" collapsed="false">
      <c r="A2" s="15" t="s">
        <v>138</v>
      </c>
    </row>
    <row r="4" customFormat="false" ht="35.05" hidden="false" customHeight="false" outlineLevel="0" collapsed="false">
      <c r="A4" s="4" t="s">
        <v>19</v>
      </c>
      <c r="B4" s="4" t="s">
        <v>18</v>
      </c>
      <c r="C4" s="4" t="s">
        <v>114</v>
      </c>
      <c r="D4" s="4" t="s">
        <v>139</v>
      </c>
      <c r="E4" s="4" t="s">
        <v>28</v>
      </c>
      <c r="F4" s="4" t="s">
        <v>123</v>
      </c>
      <c r="G4" s="4" t="s">
        <v>124</v>
      </c>
      <c r="H4" s="4" t="s">
        <v>140</v>
      </c>
      <c r="I4" s="4" t="s">
        <v>21</v>
      </c>
      <c r="J4" s="4" t="s">
        <v>25</v>
      </c>
      <c r="K4" s="4" t="s">
        <v>30</v>
      </c>
      <c r="L4" s="4" t="s">
        <v>26</v>
      </c>
      <c r="M4" s="4" t="s">
        <v>141</v>
      </c>
      <c r="N4" s="4" t="s">
        <v>142</v>
      </c>
      <c r="O4" s="4" t="s">
        <v>143</v>
      </c>
      <c r="P4" s="4" t="s">
        <v>144</v>
      </c>
      <c r="Q4" s="4" t="s">
        <v>145</v>
      </c>
      <c r="R4" s="4" t="s">
        <v>146</v>
      </c>
      <c r="S4" s="4" t="s">
        <v>147</v>
      </c>
    </row>
    <row r="5" customFormat="false" ht="15" hidden="false" customHeight="false" outlineLevel="0" collapsed="false">
      <c r="A5" s="6" t="s">
        <v>148</v>
      </c>
      <c r="B5" s="5" t="str">
        <f aca="false">Insights!$B$4</f>
        <v>Electroma</v>
      </c>
      <c r="C5" s="5" t="str">
        <f aca="false">Insights!$B$6</f>
        <v>2026-09</v>
      </c>
      <c r="D5" s="6" t="s">
        <v>149</v>
      </c>
      <c r="E5" s="6" t="s">
        <v>41</v>
      </c>
      <c r="F5" s="16" t="n">
        <v>46266</v>
      </c>
      <c r="G5" s="16" t="n">
        <v>46295</v>
      </c>
      <c r="H5" s="17"/>
      <c r="I5" s="6" t="s">
        <v>34</v>
      </c>
      <c r="J5" s="6" t="s">
        <v>38</v>
      </c>
      <c r="K5" s="6" t="s">
        <v>43</v>
      </c>
      <c r="L5" s="18" t="str">
        <f aca="false">IFERROR(VLOOKUP(J5,Catálogos!$J$4:$K$20,2,FALSE()),"Revisar objetivo")</f>
        <v>Por mil</v>
      </c>
      <c r="M5" s="9" t="n">
        <v>2000</v>
      </c>
      <c r="N5" s="19" t="n">
        <f aca="false">M5/Insights!$B$7</f>
        <v>254.777070063694</v>
      </c>
      <c r="O5" s="20" t="n">
        <v>2.85</v>
      </c>
      <c r="P5" s="13"/>
      <c r="Q5" s="21" t="n">
        <f aca="false">IF(OR(L5="Sin costo",O5=0),N(P5),M5/O5*IF(L5="Por mil",1000,1))</f>
        <v>701754.385964912</v>
      </c>
      <c r="R5" s="22" t="n">
        <f aca="false">G5-F5+1</f>
        <v>30</v>
      </c>
      <c r="S5" s="5" t="str">
        <f aca="false">A5&amp;" | "&amp;E5&amp;" | "&amp;I5&amp;" | "&amp;J5</f>
        <v>ELE2609-001 | Mantenimiento | Meta | Alcance</v>
      </c>
    </row>
    <row r="6" customFormat="false" ht="15" hidden="false" customHeight="false" outlineLevel="0" collapsed="false">
      <c r="A6" s="6" t="s">
        <v>150</v>
      </c>
      <c r="B6" s="5" t="str">
        <f aca="false">Insights!$B$4</f>
        <v>Electroma</v>
      </c>
      <c r="C6" s="5" t="str">
        <f aca="false">Insights!$B$6</f>
        <v>2026-09</v>
      </c>
      <c r="D6" s="6" t="s">
        <v>149</v>
      </c>
      <c r="E6" s="6" t="s">
        <v>41</v>
      </c>
      <c r="F6" s="16" t="n">
        <v>46266</v>
      </c>
      <c r="G6" s="16" t="n">
        <v>46295</v>
      </c>
      <c r="H6" s="17"/>
      <c r="I6" s="6" t="s">
        <v>34</v>
      </c>
      <c r="J6" s="6" t="s">
        <v>82</v>
      </c>
      <c r="K6" s="6" t="s">
        <v>43</v>
      </c>
      <c r="L6" s="18" t="str">
        <f aca="false">IFERROR(VLOOKUP(J6,Catálogos!$J$4:$K$20,2,FALSE()),"Revisar objetivo")</f>
        <v>Por unidad</v>
      </c>
      <c r="M6" s="9" t="n">
        <v>2715</v>
      </c>
      <c r="N6" s="19" t="n">
        <f aca="false">M6/Insights!$B$7</f>
        <v>345.859872611465</v>
      </c>
      <c r="O6" s="20" t="n">
        <v>0.3</v>
      </c>
      <c r="P6" s="13"/>
      <c r="Q6" s="21" t="n">
        <f aca="false">IF(OR(L6="Sin costo",O6=0),N(P6),M6/O6*IF(L6="Por mil",1000,1))</f>
        <v>9050</v>
      </c>
      <c r="R6" s="22" t="n">
        <f aca="false">G6-F6+1</f>
        <v>30</v>
      </c>
      <c r="S6" s="5" t="str">
        <f aca="false">A6&amp;" | "&amp;E6&amp;" | "&amp;I6&amp;" | "&amp;J6</f>
        <v>ELE2609-002 | Mantenimiento | Meta | Interacción</v>
      </c>
    </row>
    <row r="7" customFormat="false" ht="15" hidden="false" customHeight="false" outlineLevel="0" collapsed="false">
      <c r="A7" s="6" t="s">
        <v>151</v>
      </c>
      <c r="B7" s="5" t="str">
        <f aca="false">Insights!$B$4</f>
        <v>Electroma</v>
      </c>
      <c r="C7" s="5" t="str">
        <f aca="false">Insights!$B$6</f>
        <v>2026-09</v>
      </c>
      <c r="D7" s="6" t="s">
        <v>149</v>
      </c>
      <c r="E7" s="6" t="s">
        <v>41</v>
      </c>
      <c r="F7" s="16" t="n">
        <v>46266</v>
      </c>
      <c r="G7" s="16" t="n">
        <v>46295</v>
      </c>
      <c r="H7" s="17"/>
      <c r="I7" s="6" t="s">
        <v>46</v>
      </c>
      <c r="J7" s="6" t="s">
        <v>89</v>
      </c>
      <c r="K7" s="6" t="s">
        <v>49</v>
      </c>
      <c r="L7" s="18" t="str">
        <f aca="false">IFERROR(VLOOKUP(J7,Catálogos!$J$4:$K$20,2,FALSE()),"Revisar objetivo")</f>
        <v>Por unidad</v>
      </c>
      <c r="M7" s="9" t="n">
        <v>3500</v>
      </c>
      <c r="N7" s="19" t="n">
        <f aca="false">M7/Insights!$B$7</f>
        <v>445.859872611465</v>
      </c>
      <c r="O7" s="20" t="n">
        <v>0.65</v>
      </c>
      <c r="P7" s="13"/>
      <c r="Q7" s="21" t="n">
        <f aca="false">IF(OR(L7="Sin costo",O7=0),N(P7),M7/O7*IF(L7="Por mil",1000,1))</f>
        <v>5384.61538461539</v>
      </c>
      <c r="R7" s="22" t="n">
        <f aca="false">G7-F7+1</f>
        <v>30</v>
      </c>
      <c r="S7" s="5" t="str">
        <f aca="false">A7&amp;" | "&amp;E7&amp;" | "&amp;I7&amp;" | "&amp;J7</f>
        <v>ELE2608-003 | Mantenimiento | Google Ads | Search · Clics</v>
      </c>
    </row>
    <row r="8" customFormat="false" ht="15" hidden="false" customHeight="false" outlineLevel="0" collapsed="false">
      <c r="A8" s="6" t="s">
        <v>152</v>
      </c>
      <c r="B8" s="5" t="str">
        <f aca="false">Insights!$B$4</f>
        <v>Electroma</v>
      </c>
      <c r="C8" s="5" t="str">
        <f aca="false">Insights!$B$6</f>
        <v>2026-09</v>
      </c>
      <c r="D8" s="6" t="s">
        <v>149</v>
      </c>
      <c r="E8" s="6" t="s">
        <v>41</v>
      </c>
      <c r="F8" s="16" t="n">
        <v>46266</v>
      </c>
      <c r="G8" s="16" t="n">
        <v>46295</v>
      </c>
      <c r="H8" s="17"/>
      <c r="I8" s="6" t="s">
        <v>58</v>
      </c>
      <c r="J8" s="6" t="s">
        <v>38</v>
      </c>
      <c r="K8" s="6" t="s">
        <v>87</v>
      </c>
      <c r="L8" s="18" t="str">
        <f aca="false">IFERROR(VLOOKUP(J8,Catálogos!$J$4:$K$20,2,FALSE()),"Revisar objetivo")</f>
        <v>Por mil</v>
      </c>
      <c r="M8" s="9" t="n">
        <v>2000</v>
      </c>
      <c r="N8" s="19" t="n">
        <f aca="false">M8/Insights!$B$7</f>
        <v>254.777070063694</v>
      </c>
      <c r="O8" s="20" t="n">
        <v>2.4</v>
      </c>
      <c r="P8" s="13"/>
      <c r="Q8" s="21" t="n">
        <f aca="false">IF(OR(L8="Sin costo",O8=0),N(P8),M8/O8*IF(L8="Por mil",1000,1))</f>
        <v>833333.333333333</v>
      </c>
      <c r="R8" s="22" t="n">
        <f aca="false">G8-F8+1</f>
        <v>30</v>
      </c>
      <c r="S8" s="5" t="str">
        <f aca="false">A8&amp;" | "&amp;E8&amp;" | "&amp;I8&amp;" | "&amp;J8</f>
        <v>ELE2609-004 | Mantenimiento | TikTok | Alcance</v>
      </c>
    </row>
    <row r="9" customFormat="false" ht="15" hidden="false" customHeight="false" outlineLevel="0" collapsed="false">
      <c r="A9" s="6" t="s">
        <v>153</v>
      </c>
      <c r="B9" s="5" t="str">
        <f aca="false">Insights!$B$4</f>
        <v>Electroma</v>
      </c>
      <c r="C9" s="5" t="str">
        <f aca="false">Insights!$B$6</f>
        <v>2026-09</v>
      </c>
      <c r="D9" s="6" t="s">
        <v>149</v>
      </c>
      <c r="E9" s="6" t="s">
        <v>48</v>
      </c>
      <c r="F9" s="16" t="n">
        <v>46266</v>
      </c>
      <c r="G9" s="16" t="n">
        <v>46295</v>
      </c>
      <c r="H9" s="17"/>
      <c r="I9" s="6" t="s">
        <v>34</v>
      </c>
      <c r="J9" s="6" t="s">
        <v>96</v>
      </c>
      <c r="K9" s="6" t="s">
        <v>43</v>
      </c>
      <c r="L9" s="18" t="str">
        <f aca="false">IFERROR(VLOOKUP(J9,Catálogos!$J$4:$K$20,2,FALSE()),"Revisar objetivo")</f>
        <v>Por unidad</v>
      </c>
      <c r="M9" s="9" t="n">
        <v>3500</v>
      </c>
      <c r="N9" s="19" t="n">
        <f aca="false">M9/Insights!$B$7</f>
        <v>445.859872611465</v>
      </c>
      <c r="O9" s="20" t="n">
        <v>2.4</v>
      </c>
      <c r="P9" s="13"/>
      <c r="Q9" s="21" t="n">
        <f aca="false">IF(OR(L9="Sin costo",O9=0),N(P9),M9/O9*IF(L9="Por mil",1000,1))</f>
        <v>1458.33333333333</v>
      </c>
      <c r="R9" s="22" t="n">
        <f aca="false">G9-F9+1</f>
        <v>30</v>
      </c>
      <c r="S9" s="5" t="str">
        <f aca="false">A9&amp;" | "&amp;E9&amp;" | "&amp;I9&amp;" | "&amp;J9</f>
        <v>ELE2608-006 | Apoyo CC | Meta | Mensajes WhatsApp</v>
      </c>
    </row>
    <row r="10" customFormat="false" ht="15" hidden="false" customHeight="false" outlineLevel="0" collapsed="false">
      <c r="A10" s="6" t="s">
        <v>154</v>
      </c>
      <c r="B10" s="5" t="str">
        <f aca="false">Insights!$B$4</f>
        <v>Electroma</v>
      </c>
      <c r="C10" s="5" t="str">
        <f aca="false">Insights!$B$6</f>
        <v>2026-09</v>
      </c>
      <c r="D10" s="6" t="s">
        <v>149</v>
      </c>
      <c r="E10" s="6" t="s">
        <v>54</v>
      </c>
      <c r="F10" s="16" t="n">
        <v>46286</v>
      </c>
      <c r="G10" s="16" t="n">
        <v>46291</v>
      </c>
      <c r="H10" s="17"/>
      <c r="I10" s="6" t="s">
        <v>34</v>
      </c>
      <c r="J10" s="6" t="s">
        <v>96</v>
      </c>
      <c r="K10" s="6" t="s">
        <v>43</v>
      </c>
      <c r="L10" s="18" t="str">
        <f aca="false">IFERROR(VLOOKUP(J10,Catálogos!$J$4:$K$20,2,FALSE()),"Revisar objetivo")</f>
        <v>Por unidad</v>
      </c>
      <c r="M10" s="9" t="n">
        <v>2000.023</v>
      </c>
      <c r="N10" s="19" t="n">
        <f aca="false">M10/Insights!$B$7</f>
        <v>254.78</v>
      </c>
      <c r="O10" s="20" t="n">
        <v>4</v>
      </c>
      <c r="P10" s="13"/>
      <c r="Q10" s="21" t="n">
        <f aca="false">IF(OR(L10="Sin costo",O10=0),N(P10),M10/O10*IF(L10="Por mil",1000,1))</f>
        <v>500.00575</v>
      </c>
      <c r="R10" s="22" t="n">
        <f aca="false">G10-F10+1</f>
        <v>6</v>
      </c>
      <c r="S10" s="5" t="str">
        <f aca="false">A10&amp;" | "&amp;E10&amp;" | "&amp;I10&amp;" | "&amp;J10</f>
        <v>ELE2609-006 | Promo CC | Meta | Mensajes WhatsApp</v>
      </c>
    </row>
    <row r="11" customFormat="false" ht="15" hidden="false" customHeight="false" outlineLevel="0" collapsed="false">
      <c r="A11" s="6" t="s">
        <v>155</v>
      </c>
      <c r="B11" s="5" t="str">
        <f aca="false">Insights!$B$4</f>
        <v>Electroma</v>
      </c>
      <c r="C11" s="5" t="str">
        <f aca="false">Insights!$B$6</f>
        <v>2026-09</v>
      </c>
      <c r="D11" s="6" t="s">
        <v>149</v>
      </c>
      <c r="E11" s="6" t="s">
        <v>61</v>
      </c>
      <c r="F11" s="16" t="n">
        <v>46275</v>
      </c>
      <c r="G11" s="16" t="n">
        <v>46284</v>
      </c>
      <c r="H11" s="17"/>
      <c r="I11" s="6" t="s">
        <v>34</v>
      </c>
      <c r="J11" s="6" t="s">
        <v>47</v>
      </c>
      <c r="K11" s="6" t="s">
        <v>43</v>
      </c>
      <c r="L11" s="18" t="str">
        <f aca="false">IFERROR(VLOOKUP(J11,Catálogos!$J$4:$K$20,2,FALSE()),"Revisar objetivo")</f>
        <v>Por mil</v>
      </c>
      <c r="M11" s="9" t="n">
        <v>12000</v>
      </c>
      <c r="N11" s="19" t="n">
        <f aca="false">M11/Insights!$B$7</f>
        <v>1528.66242038217</v>
      </c>
      <c r="O11" s="20" t="n">
        <v>3.9</v>
      </c>
      <c r="P11" s="13"/>
      <c r="Q11" s="21" t="n">
        <f aca="false">IF(OR(L11="Sin costo",O11=0),N(P11),M11/O11*IF(L11="Por mil",1000,1))</f>
        <v>3076923.07692308</v>
      </c>
      <c r="R11" s="22" t="n">
        <f aca="false">G11-F11+1</f>
        <v>10</v>
      </c>
      <c r="S11" s="5" t="str">
        <f aca="false">A11&amp;" | "&amp;E11&amp;" | "&amp;I11&amp;" | "&amp;J11</f>
        <v>ELE2609-007 | Electro Independencia | Meta | Alcance geolocalizado</v>
      </c>
    </row>
    <row r="12" customFormat="false" ht="15" hidden="false" customHeight="false" outlineLevel="0" collapsed="false">
      <c r="A12" s="6" t="s">
        <v>156</v>
      </c>
      <c r="B12" s="5" t="str">
        <f aca="false">Insights!$B$4</f>
        <v>Electroma</v>
      </c>
      <c r="C12" s="5" t="str">
        <f aca="false">Insights!$B$6</f>
        <v>2026-09</v>
      </c>
      <c r="D12" s="6" t="s">
        <v>149</v>
      </c>
      <c r="E12" s="6" t="s">
        <v>61</v>
      </c>
      <c r="F12" s="16" t="n">
        <v>46278</v>
      </c>
      <c r="G12" s="16" t="n">
        <v>46284</v>
      </c>
      <c r="H12" s="17"/>
      <c r="I12" s="6" t="s">
        <v>58</v>
      </c>
      <c r="J12" s="6" t="s">
        <v>53</v>
      </c>
      <c r="K12" s="6" t="s">
        <v>87</v>
      </c>
      <c r="L12" s="18" t="str">
        <f aca="false">IFERROR(VLOOKUP(J12,Catálogos!$J$4:$K$20,2,FALSE()),"Revisar objetivo")</f>
        <v>Por mil</v>
      </c>
      <c r="M12" s="9" t="n">
        <v>6454.18</v>
      </c>
      <c r="N12" s="19" t="n">
        <f aca="false">M12/Insights!$B$7</f>
        <v>822.188535031847</v>
      </c>
      <c r="O12" s="20" t="n">
        <v>2.4</v>
      </c>
      <c r="P12" s="13"/>
      <c r="Q12" s="21" t="n">
        <f aca="false">IF(OR(L12="Sin costo",O12=0),N(P12),M12/O12*IF(L12="Por mil",1000,1))</f>
        <v>2689241.66666667</v>
      </c>
      <c r="R12" s="22" t="n">
        <f aca="false">G12-F12+1</f>
        <v>7</v>
      </c>
      <c r="S12" s="5" t="str">
        <f aca="false">A12&amp;" | "&amp;E12&amp;" | "&amp;I12&amp;" | "&amp;J12</f>
        <v>ELE2609-008 | Electro Independencia | TikTok | Alcance / Video view</v>
      </c>
    </row>
    <row r="13" customFormat="false" ht="15" hidden="false" customHeight="false" outlineLevel="0" collapsed="false">
      <c r="A13" s="6" t="s">
        <v>157</v>
      </c>
      <c r="B13" s="5" t="str">
        <f aca="false">Insights!$B$4</f>
        <v>Electroma</v>
      </c>
      <c r="C13" s="5" t="str">
        <f aca="false">Insights!$B$6</f>
        <v>2026-09</v>
      </c>
      <c r="D13" s="6" t="s">
        <v>149</v>
      </c>
      <c r="E13" s="6" t="s">
        <v>61</v>
      </c>
      <c r="F13" s="16" t="n">
        <v>46278</v>
      </c>
      <c r="G13" s="16" t="n">
        <v>46284</v>
      </c>
      <c r="H13" s="17"/>
      <c r="I13" s="6" t="s">
        <v>52</v>
      </c>
      <c r="J13" s="6" t="s">
        <v>60</v>
      </c>
      <c r="K13" s="6" t="s">
        <v>52</v>
      </c>
      <c r="L13" s="18" t="str">
        <f aca="false">IFERROR(VLOOKUP(J13,Catálogos!$J$4:$K$20,2,FALSE()),"Revisar objetivo")</f>
        <v>Por mil</v>
      </c>
      <c r="M13" s="9" t="n">
        <v>5000</v>
      </c>
      <c r="N13" s="19" t="n">
        <f aca="false">M13/Insights!$B$7</f>
        <v>636.942675159236</v>
      </c>
      <c r="O13" s="20" t="n">
        <v>3.5</v>
      </c>
      <c r="P13" s="13"/>
      <c r="Q13" s="21" t="n">
        <f aca="false">IF(OR(L13="Sin costo",O13=0),N(P13),M13/O13*IF(L13="Por mil",1000,1))</f>
        <v>1428571.42857143</v>
      </c>
      <c r="R13" s="22" t="n">
        <f aca="false">G13-F13+1</f>
        <v>7</v>
      </c>
      <c r="S13" s="5" t="str">
        <f aca="false">A13&amp;" | "&amp;E13&amp;" | "&amp;I13&amp;" | "&amp;J13</f>
        <v>ELE2609-009 | Electro Independencia | YouTube | Bumper / Instream</v>
      </c>
    </row>
    <row r="14" customFormat="false" ht="15" hidden="false" customHeight="false" outlineLevel="0" collapsed="false">
      <c r="A14" s="6" t="s">
        <v>158</v>
      </c>
      <c r="B14" s="5" t="str">
        <f aca="false">Insights!$B$4</f>
        <v>Electroma</v>
      </c>
      <c r="C14" s="5" t="str">
        <f aca="false">Insights!$B$6</f>
        <v>2026-09</v>
      </c>
      <c r="D14" s="6" t="s">
        <v>149</v>
      </c>
      <c r="E14" s="6" t="s">
        <v>61</v>
      </c>
      <c r="F14" s="16" t="n">
        <v>46278</v>
      </c>
      <c r="G14" s="16" t="n">
        <v>46284</v>
      </c>
      <c r="H14" s="17"/>
      <c r="I14" s="6" t="s">
        <v>70</v>
      </c>
      <c r="J14" s="6" t="s">
        <v>67</v>
      </c>
      <c r="K14" s="6" t="s">
        <v>69</v>
      </c>
      <c r="L14" s="18" t="str">
        <f aca="false">IFERROR(VLOOKUP(J14,Catálogos!$J$4:$K$20,2,FALSE()),"Revisar objetivo")</f>
        <v>Por mil</v>
      </c>
      <c r="M14" s="9" t="n">
        <v>4300</v>
      </c>
      <c r="N14" s="19" t="n">
        <f aca="false">M14/Insights!$B$7</f>
        <v>547.770700636943</v>
      </c>
      <c r="O14" s="20" t="n">
        <v>6.19</v>
      </c>
      <c r="P14" s="13"/>
      <c r="Q14" s="21" t="n">
        <f aca="false">IF(OR(L14="Sin costo",O14=0),N(P14),M14/O14*IF(L14="Por mil",1000,1))</f>
        <v>694668.820678514</v>
      </c>
      <c r="R14" s="22" t="n">
        <f aca="false">G14-F14+1</f>
        <v>7</v>
      </c>
      <c r="S14" s="5" t="str">
        <f aca="false">A14&amp;" | "&amp;E14&amp;" | "&amp;I14&amp;" | "&amp;J14</f>
        <v>ELE2609-010 | Electro Independencia | Basis | Display programático</v>
      </c>
    </row>
    <row r="15" customFormat="false" ht="23.85" hidden="false" customHeight="false" outlineLevel="0" collapsed="false">
      <c r="A15" s="6" t="s">
        <v>159</v>
      </c>
      <c r="B15" s="5" t="str">
        <f aca="false">Insights!$B$4</f>
        <v>Electroma</v>
      </c>
      <c r="C15" s="5" t="str">
        <f aca="false">Insights!$B$6</f>
        <v>2026-09</v>
      </c>
      <c r="D15" s="6" t="s">
        <v>149</v>
      </c>
      <c r="E15" s="6" t="s">
        <v>61</v>
      </c>
      <c r="F15" s="16" t="n">
        <v>46278</v>
      </c>
      <c r="G15" s="16" t="n">
        <v>46284</v>
      </c>
      <c r="H15" s="17"/>
      <c r="I15" s="6" t="s">
        <v>46</v>
      </c>
      <c r="J15" s="6" t="s">
        <v>71</v>
      </c>
      <c r="K15" s="6" t="s">
        <v>49</v>
      </c>
      <c r="L15" s="18" t="str">
        <f aca="false">IFERROR(VLOOKUP(J15,Catálogos!$J$4:$K$20,2,FALSE()),"Revisar objetivo")</f>
        <v>Por mil</v>
      </c>
      <c r="M15" s="9" t="n">
        <v>2756.61</v>
      </c>
      <c r="N15" s="19" t="n">
        <f aca="false">M15/Insights!$B$7</f>
        <v>351.16050955414</v>
      </c>
      <c r="O15" s="20" t="n">
        <v>7.82</v>
      </c>
      <c r="P15" s="13"/>
      <c r="Q15" s="21" t="n">
        <f aca="false">IF(OR(L15="Sin costo",O15=0),N(P15),M15/O15*IF(L15="Por mil",1000,1))</f>
        <v>352507.672634271</v>
      </c>
      <c r="R15" s="22" t="n">
        <f aca="false">G15-F15+1</f>
        <v>7</v>
      </c>
      <c r="S15" s="5" t="str">
        <f aca="false">A15&amp;" | "&amp;E15&amp;" | "&amp;I15&amp;" | "&amp;J15</f>
        <v>ELE2609-011 | Electro Independencia | Google Ads | Demand Gen · Alcance</v>
      </c>
    </row>
    <row r="16" customFormat="false" ht="15" hidden="false" customHeight="false" outlineLevel="0" collapsed="false">
      <c r="A16" s="6" t="s">
        <v>160</v>
      </c>
      <c r="B16" s="5" t="str">
        <f aca="false">Insights!$B$4</f>
        <v>Electroma</v>
      </c>
      <c r="C16" s="5" t="str">
        <f aca="false">Insights!$B$6</f>
        <v>2026-09</v>
      </c>
      <c r="D16" s="6" t="s">
        <v>149</v>
      </c>
      <c r="E16" s="6" t="s">
        <v>61</v>
      </c>
      <c r="F16" s="16" t="n">
        <v>46280</v>
      </c>
      <c r="G16" s="16" t="n">
        <v>46280</v>
      </c>
      <c r="H16" s="17"/>
      <c r="I16" s="6" t="s">
        <v>75</v>
      </c>
      <c r="J16" s="6" t="s">
        <v>76</v>
      </c>
      <c r="K16" s="6" t="s">
        <v>69</v>
      </c>
      <c r="L16" s="18" t="str">
        <f aca="false">IFERROR(VLOOKUP(J16,Catálogos!$J$4:$K$20,2,FALSE()),"Revisar objetivo")</f>
        <v>Por mil</v>
      </c>
      <c r="M16" s="9" t="n">
        <v>1000</v>
      </c>
      <c r="N16" s="19" t="n">
        <f aca="false">M16/Insights!$B$7</f>
        <v>127.388535031847</v>
      </c>
      <c r="O16" s="20" t="n">
        <v>77</v>
      </c>
      <c r="P16" s="13"/>
      <c r="Q16" s="21" t="n">
        <f aca="false">IF(OR(L16="Sin costo",O16=0),N(P16),M16/O16*IF(L16="Por mil",1000,1))</f>
        <v>12987.012987013</v>
      </c>
      <c r="R16" s="22" t="n">
        <f aca="false">G16-F16+1</f>
        <v>1</v>
      </c>
      <c r="S16" s="5" t="str">
        <f aca="false">A16&amp;" | "&amp;E16&amp;" | "&amp;I16&amp;" | "&amp;J16</f>
        <v>ELE2609-012 | Electro Independencia | Claro | SMS geolocalizado</v>
      </c>
    </row>
    <row r="17" customFormat="false" ht="15" hidden="false" customHeight="false" outlineLevel="0" collapsed="false">
      <c r="A17" s="6" t="s">
        <v>161</v>
      </c>
      <c r="B17" s="5" t="str">
        <f aca="false">Insights!$B$4</f>
        <v>Electroma</v>
      </c>
      <c r="C17" s="5" t="str">
        <f aca="false">Insights!$B$6</f>
        <v>2026-09</v>
      </c>
      <c r="D17" s="6" t="s">
        <v>149</v>
      </c>
      <c r="E17" s="6" t="s">
        <v>61</v>
      </c>
      <c r="F17" s="16" t="n">
        <v>46282</v>
      </c>
      <c r="G17" s="16" t="n">
        <v>46282</v>
      </c>
      <c r="H17" s="17"/>
      <c r="I17" s="6" t="s">
        <v>75</v>
      </c>
      <c r="J17" s="6" t="s">
        <v>76</v>
      </c>
      <c r="K17" s="6" t="s">
        <v>69</v>
      </c>
      <c r="L17" s="18" t="str">
        <f aca="false">IFERROR(VLOOKUP(J17,Catálogos!$J$4:$K$20,2,FALSE()),"Revisar objetivo")</f>
        <v>Por mil</v>
      </c>
      <c r="M17" s="9" t="n">
        <v>1000</v>
      </c>
      <c r="N17" s="19" t="n">
        <f aca="false">M17/Insights!$B$7</f>
        <v>127.388535031847</v>
      </c>
      <c r="O17" s="20" t="n">
        <v>77</v>
      </c>
      <c r="P17" s="13"/>
      <c r="Q17" s="21" t="n">
        <f aca="false">IF(OR(L17="Sin costo",O17=0),N(P17),M17/O17*IF(L17="Por mil",1000,1))</f>
        <v>12987.012987013</v>
      </c>
      <c r="R17" s="22" t="n">
        <f aca="false">G17-F17+1</f>
        <v>1</v>
      </c>
      <c r="S17" s="5" t="str">
        <f aca="false">A17&amp;" | "&amp;E17&amp;" | "&amp;I17&amp;" | "&amp;J17</f>
        <v>ELE2609-013 | Electro Independencia | Claro | SMS geolocalizado</v>
      </c>
    </row>
    <row r="18" customFormat="false" ht="15" hidden="false" customHeight="false" outlineLevel="0" collapsed="false">
      <c r="A18" s="6" t="s">
        <v>162</v>
      </c>
      <c r="B18" s="5" t="str">
        <f aca="false">Insights!$B$4</f>
        <v>Electroma</v>
      </c>
      <c r="C18" s="5" t="str">
        <f aca="false">Insights!$B$6</f>
        <v>2026-09</v>
      </c>
      <c r="D18" s="6" t="s">
        <v>149</v>
      </c>
      <c r="E18" s="6" t="s">
        <v>61</v>
      </c>
      <c r="F18" s="16" t="n">
        <v>46278</v>
      </c>
      <c r="G18" s="16" t="n">
        <v>46282</v>
      </c>
      <c r="H18" s="17" t="s">
        <v>163</v>
      </c>
      <c r="I18" s="6" t="s">
        <v>81</v>
      </c>
      <c r="J18" s="6" t="s">
        <v>104</v>
      </c>
      <c r="K18" s="6" t="s">
        <v>80</v>
      </c>
      <c r="L18" s="18" t="str">
        <f aca="false">IFERROR(VLOOKUP(J18,Catálogos!$J$4:$K$20,2,FALSE()),"Revisar objetivo")</f>
        <v>Por unidad</v>
      </c>
      <c r="M18" s="9" t="n">
        <v>2800</v>
      </c>
      <c r="N18" s="19" t="n">
        <f aca="false">M18/Insights!$B$7</f>
        <v>356.687898089172</v>
      </c>
      <c r="O18" s="20" t="n">
        <v>0.71</v>
      </c>
      <c r="P18" s="13"/>
      <c r="Q18" s="21" t="n">
        <f aca="false">IF(OR(L18="Sin costo",O18=0),N(P18),M18/O18*IF(L18="Por mil",1000,1))</f>
        <v>3943.66197183099</v>
      </c>
      <c r="R18" s="22" t="n">
        <f aca="false">G18-F18+1</f>
        <v>5</v>
      </c>
      <c r="S18" s="5" t="str">
        <f aca="false">A18&amp;" | "&amp;E18&amp;" | "&amp;I18&amp;" | "&amp;J18</f>
        <v>ELE2609-014 | Electro Independencia | iSoft | WhatsApp masivo</v>
      </c>
    </row>
    <row r="19" customFormat="false" ht="15" hidden="false" customHeight="false" outlineLevel="0" collapsed="false">
      <c r="A19" s="6" t="s">
        <v>164</v>
      </c>
      <c r="B19" s="5" t="str">
        <f aca="false">Insights!$B$4</f>
        <v>Electroma</v>
      </c>
      <c r="C19" s="5" t="str">
        <f aca="false">Insights!$B$6</f>
        <v>2026-09</v>
      </c>
      <c r="D19" s="6" t="s">
        <v>149</v>
      </c>
      <c r="E19" s="6" t="s">
        <v>61</v>
      </c>
      <c r="F19" s="16" t="n">
        <v>46278</v>
      </c>
      <c r="G19" s="16" t="n">
        <v>46278</v>
      </c>
      <c r="H19" s="17"/>
      <c r="I19" s="6" t="s">
        <v>75</v>
      </c>
      <c r="J19" s="6" t="s">
        <v>106</v>
      </c>
      <c r="K19" s="6" t="s">
        <v>74</v>
      </c>
      <c r="L19" s="18" t="str">
        <f aca="false">IFERROR(VLOOKUP(J19,Catálogos!$J$4:$K$20,2,FALSE()),"Revisar objetivo")</f>
        <v>Por unidad</v>
      </c>
      <c r="M19" s="9" t="n">
        <v>1600</v>
      </c>
      <c r="N19" s="19" t="n">
        <f aca="false">M19/Insights!$B$7</f>
        <v>203.821656050955</v>
      </c>
      <c r="O19" s="20" t="n">
        <v>0.32</v>
      </c>
      <c r="P19" s="13"/>
      <c r="Q19" s="21" t="n">
        <f aca="false">IF(OR(L19="Sin costo",O19=0),N(P19),M19/O19*IF(L19="Por mil",1000,1))</f>
        <v>5000</v>
      </c>
      <c r="R19" s="22" t="n">
        <f aca="false">G19-F19+1</f>
        <v>1</v>
      </c>
      <c r="S19" s="5" t="str">
        <f aca="false">A19&amp;" | "&amp;E19&amp;" | "&amp;I19&amp;" | "&amp;J19</f>
        <v>ELE2609-015 | Electro Independencia | Claro | SMS</v>
      </c>
    </row>
    <row r="20" customFormat="false" ht="15" hidden="false" customHeight="false" outlineLevel="0" collapsed="false">
      <c r="A20" s="6" t="s">
        <v>165</v>
      </c>
      <c r="B20" s="5" t="str">
        <f aca="false">Insights!$B$4</f>
        <v>Electroma</v>
      </c>
      <c r="C20" s="5" t="str">
        <f aca="false">Insights!$B$6</f>
        <v>2026-09</v>
      </c>
      <c r="D20" s="6" t="s">
        <v>149</v>
      </c>
      <c r="E20" s="6" t="s">
        <v>61</v>
      </c>
      <c r="F20" s="16" t="n">
        <v>46278</v>
      </c>
      <c r="G20" s="16" t="n">
        <v>46282</v>
      </c>
      <c r="H20" s="17" t="s">
        <v>163</v>
      </c>
      <c r="I20" s="6" t="s">
        <v>88</v>
      </c>
      <c r="J20" s="6" t="s">
        <v>108</v>
      </c>
      <c r="K20" s="6" t="s">
        <v>101</v>
      </c>
      <c r="L20" s="18" t="str">
        <f aca="false">IFERROR(VLOOKUP(J20,Catálogos!$J$4:$K$20,2,FALSE()),"Revisar objetivo")</f>
        <v>Sin costo</v>
      </c>
      <c r="M20" s="9" t="n">
        <v>0</v>
      </c>
      <c r="N20" s="19" t="n">
        <f aca="false">M20/Insights!$B$7</f>
        <v>0</v>
      </c>
      <c r="O20" s="20" t="n">
        <v>0</v>
      </c>
      <c r="P20" s="13" t="n">
        <v>4500</v>
      </c>
      <c r="Q20" s="21" t="n">
        <f aca="false">IF(OR(L20="Sin costo",O20=0),N(P20),M20/O20*IF(L20="Por mil",1000,1))</f>
        <v>4500</v>
      </c>
      <c r="R20" s="22" t="n">
        <f aca="false">G20-F20+1</f>
        <v>5</v>
      </c>
      <c r="S20" s="5" t="str">
        <f aca="false">A20&amp;" | "&amp;E20&amp;" | "&amp;I20&amp;" | "&amp;J20</f>
        <v>ELE2609-016 | Electro Independencia | Mailjet | Mailing</v>
      </c>
    </row>
    <row r="21" customFormat="false" ht="15" hidden="false" customHeight="false" outlineLevel="0" collapsed="false">
      <c r="A21" s="6" t="s">
        <v>166</v>
      </c>
      <c r="B21" s="5" t="str">
        <f aca="false">Insights!$B$4</f>
        <v>Electroma</v>
      </c>
      <c r="C21" s="5" t="str">
        <f aca="false">Insights!$B$6</f>
        <v>2026-09</v>
      </c>
      <c r="D21" s="6" t="s">
        <v>149</v>
      </c>
      <c r="E21" s="6" t="s">
        <v>68</v>
      </c>
      <c r="F21" s="16" t="n">
        <v>46285</v>
      </c>
      <c r="G21" s="16" t="n">
        <v>46291</v>
      </c>
      <c r="H21" s="17"/>
      <c r="I21" s="6" t="s">
        <v>46</v>
      </c>
      <c r="J21" s="6" t="s">
        <v>91</v>
      </c>
      <c r="K21" s="6" t="s">
        <v>49</v>
      </c>
      <c r="L21" s="18" t="str">
        <f aca="false">IFERROR(VLOOKUP(J21,Catálogos!$J$4:$K$20,2,FALSE()),"Revisar objetivo")</f>
        <v>Por unidad</v>
      </c>
      <c r="M21" s="9" t="n">
        <v>3000</v>
      </c>
      <c r="N21" s="19" t="n">
        <f aca="false">M21/Insights!$B$7</f>
        <v>382.165605095541</v>
      </c>
      <c r="O21" s="20" t="n">
        <v>0.035</v>
      </c>
      <c r="P21" s="13"/>
      <c r="Q21" s="21" t="n">
        <f aca="false">IF(OR(L21="Sin costo",O21=0),N(P21),M21/O21*IF(L21="Por mil",1000,1))</f>
        <v>85714.2857142857</v>
      </c>
      <c r="R21" s="22" t="n">
        <f aca="false">G21-F21+1</f>
        <v>7</v>
      </c>
      <c r="S21" s="5" t="str">
        <f aca="false">A21&amp;" | "&amp;E21&amp;" | "&amp;I21&amp;" | "&amp;J21</f>
        <v>ELE2609-017 | Electro Days | Google Ads | Demand Gen · Tráfico</v>
      </c>
    </row>
    <row r="22" customFormat="false" ht="15" hidden="false" customHeight="false" outlineLevel="0" collapsed="false">
      <c r="A22" s="6" t="s">
        <v>167</v>
      </c>
      <c r="B22" s="5" t="str">
        <f aca="false">Insights!$B$4</f>
        <v>Electroma</v>
      </c>
      <c r="C22" s="5" t="str">
        <f aca="false">Insights!$B$6</f>
        <v>2026-09</v>
      </c>
      <c r="D22" s="6" t="s">
        <v>149</v>
      </c>
      <c r="E22" s="6" t="s">
        <v>68</v>
      </c>
      <c r="F22" s="16" t="n">
        <v>46285</v>
      </c>
      <c r="G22" s="16" t="n">
        <v>46291</v>
      </c>
      <c r="H22" s="17"/>
      <c r="I22" s="6" t="s">
        <v>34</v>
      </c>
      <c r="J22" s="6" t="s">
        <v>93</v>
      </c>
      <c r="K22" s="6" t="s">
        <v>43</v>
      </c>
      <c r="L22" s="18" t="str">
        <f aca="false">IFERROR(VLOOKUP(J22,Catálogos!$J$4:$K$20,2,FALSE()),"Revisar objetivo")</f>
        <v>Por unidad</v>
      </c>
      <c r="M22" s="9" t="n">
        <v>2500</v>
      </c>
      <c r="N22" s="19" t="n">
        <f aca="false">M22/Insights!$B$7</f>
        <v>318.471337579618</v>
      </c>
      <c r="O22" s="20" t="n">
        <v>0.2</v>
      </c>
      <c r="P22" s="13"/>
      <c r="Q22" s="21" t="n">
        <f aca="false">IF(OR(L22="Sin costo",O22=0),N(P22),M22/O22*IF(L22="Por mil",1000,1))</f>
        <v>12500</v>
      </c>
      <c r="R22" s="22" t="n">
        <f aca="false">G22-F22+1</f>
        <v>7</v>
      </c>
      <c r="S22" s="5" t="str">
        <f aca="false">A22&amp;" | "&amp;E22&amp;" | "&amp;I22&amp;" | "&amp;J22</f>
        <v>ELE2609-018 | Electro Days | Meta | Tráfico</v>
      </c>
    </row>
    <row r="23" customFormat="false" ht="15" hidden="false" customHeight="false" outlineLevel="0" collapsed="false">
      <c r="A23" s="6" t="s">
        <v>168</v>
      </c>
      <c r="B23" s="5" t="str">
        <f aca="false">Insights!$B$4</f>
        <v>Electroma</v>
      </c>
      <c r="C23" s="5" t="str">
        <f aca="false">Insights!$B$6</f>
        <v>2026-09</v>
      </c>
      <c r="D23" s="6" t="s">
        <v>149</v>
      </c>
      <c r="E23" s="6" t="s">
        <v>68</v>
      </c>
      <c r="F23" s="16" t="n">
        <v>46285</v>
      </c>
      <c r="G23" s="16" t="n">
        <v>46291</v>
      </c>
      <c r="H23" s="17"/>
      <c r="I23" s="6" t="s">
        <v>34</v>
      </c>
      <c r="J23" s="6" t="s">
        <v>99</v>
      </c>
      <c r="K23" s="6" t="s">
        <v>43</v>
      </c>
      <c r="L23" s="18" t="str">
        <f aca="false">IFERROR(VLOOKUP(J23,Catálogos!$J$4:$K$20,2,FALSE()),"Revisar objetivo")</f>
        <v>Por unidad</v>
      </c>
      <c r="M23" s="9" t="n">
        <v>2500</v>
      </c>
      <c r="N23" s="19" t="n">
        <f aca="false">M23/Insights!$B$7</f>
        <v>318.471337579618</v>
      </c>
      <c r="O23" s="20" t="n">
        <v>147.06</v>
      </c>
      <c r="P23" s="13"/>
      <c r="Q23" s="21" t="n">
        <f aca="false">IF(OR(L23="Sin costo",O23=0),N(P23),M23/O23*IF(L23="Por mil",1000,1))</f>
        <v>16.999864001088</v>
      </c>
      <c r="R23" s="22" t="n">
        <f aca="false">G23-F23+1</f>
        <v>7</v>
      </c>
      <c r="S23" s="5" t="str">
        <f aca="false">A23&amp;" | "&amp;E23&amp;" | "&amp;I23&amp;" | "&amp;J23</f>
        <v>ELE2609-019 | Electro Days | Meta | Ventas</v>
      </c>
    </row>
    <row r="24" customFormat="false" ht="15" hidden="false" customHeight="false" outlineLevel="0" collapsed="false">
      <c r="A24" s="6" t="s">
        <v>169</v>
      </c>
      <c r="B24" s="5" t="str">
        <f aca="false">Insights!$B$4</f>
        <v>Electroma</v>
      </c>
      <c r="C24" s="5" t="str">
        <f aca="false">Insights!$B$6</f>
        <v>2026-09</v>
      </c>
      <c r="D24" s="6" t="s">
        <v>149</v>
      </c>
      <c r="E24" s="6" t="s">
        <v>68</v>
      </c>
      <c r="F24" s="16" t="n">
        <v>46285</v>
      </c>
      <c r="G24" s="16" t="n">
        <v>46291</v>
      </c>
      <c r="H24" s="17"/>
      <c r="I24" s="6" t="s">
        <v>81</v>
      </c>
      <c r="J24" s="6" t="s">
        <v>104</v>
      </c>
      <c r="K24" s="6" t="s">
        <v>80</v>
      </c>
      <c r="L24" s="18" t="str">
        <f aca="false">IFERROR(VLOOKUP(J24,Catálogos!$J$4:$K$20,2,FALSE()),"Revisar objetivo")</f>
        <v>Por unidad</v>
      </c>
      <c r="M24" s="9" t="n">
        <v>1065</v>
      </c>
      <c r="N24" s="19" t="n">
        <f aca="false">M24/Insights!$B$7</f>
        <v>135.668789808917</v>
      </c>
      <c r="O24" s="20" t="n">
        <v>0.71</v>
      </c>
      <c r="P24" s="13"/>
      <c r="Q24" s="21" t="n">
        <f aca="false">IF(OR(L24="Sin costo",O24=0),N(P24),M24/O24*IF(L24="Por mil",1000,1))</f>
        <v>1500</v>
      </c>
      <c r="R24" s="22" t="n">
        <f aca="false">G24-F24+1</f>
        <v>7</v>
      </c>
      <c r="S24" s="5" t="str">
        <f aca="false">A24&amp;" | "&amp;E24&amp;" | "&amp;I24&amp;" | "&amp;J24</f>
        <v>ELE2609-020 | Electro Days | iSoft | WhatsApp masivo</v>
      </c>
    </row>
    <row r="25" customFormat="false" ht="15" hidden="false" customHeight="false" outlineLevel="0" collapsed="false">
      <c r="A25" s="6" t="s">
        <v>170</v>
      </c>
      <c r="B25" s="5" t="str">
        <f aca="false">Insights!$B$4</f>
        <v>Electroma</v>
      </c>
      <c r="C25" s="5" t="str">
        <f aca="false">Insights!$B$6</f>
        <v>2026-09</v>
      </c>
      <c r="D25" s="6" t="s">
        <v>149</v>
      </c>
      <c r="E25" s="6" t="s">
        <v>68</v>
      </c>
      <c r="F25" s="16" t="n">
        <v>46285</v>
      </c>
      <c r="G25" s="16" t="n">
        <v>46289</v>
      </c>
      <c r="H25" s="17" t="s">
        <v>171</v>
      </c>
      <c r="I25" s="6" t="s">
        <v>88</v>
      </c>
      <c r="J25" s="6" t="s">
        <v>108</v>
      </c>
      <c r="K25" s="6" t="s">
        <v>101</v>
      </c>
      <c r="L25" s="18" t="str">
        <f aca="false">IFERROR(VLOOKUP(J25,Catálogos!$J$4:$K$20,2,FALSE()),"Revisar objetivo")</f>
        <v>Sin costo</v>
      </c>
      <c r="M25" s="9" t="n">
        <v>0</v>
      </c>
      <c r="N25" s="19" t="n">
        <f aca="false">M25/Insights!$B$7</f>
        <v>0</v>
      </c>
      <c r="O25" s="20" t="n">
        <v>0</v>
      </c>
      <c r="P25" s="13" t="n">
        <v>4500</v>
      </c>
      <c r="Q25" s="21" t="n">
        <f aca="false">IF(OR(L25="Sin costo",O25=0),N(P25),M25/O25*IF(L25="Por mil",1000,1))</f>
        <v>4500</v>
      </c>
      <c r="R25" s="22" t="n">
        <f aca="false">G25-F25+1</f>
        <v>5</v>
      </c>
      <c r="S25" s="5" t="str">
        <f aca="false">A25&amp;" | "&amp;E25&amp;" | "&amp;I25&amp;" | "&amp;J25</f>
        <v>ELE2609-021 | Electro Days | Mailjet | Mailing</v>
      </c>
    </row>
    <row r="26" customFormat="false" ht="15" hidden="false" customHeight="false" outlineLevel="0" collapsed="false">
      <c r="A26" s="6" t="s">
        <v>172</v>
      </c>
      <c r="B26" s="5" t="str">
        <f aca="false">Insights!$B$4</f>
        <v>Electroma</v>
      </c>
      <c r="C26" s="5" t="str">
        <f aca="false">Insights!$B$6</f>
        <v>2026-09</v>
      </c>
      <c r="D26" s="6" t="s">
        <v>149</v>
      </c>
      <c r="E26" s="6" t="s">
        <v>72</v>
      </c>
      <c r="F26" s="16" t="n">
        <v>46281</v>
      </c>
      <c r="G26" s="16" t="n">
        <v>46285</v>
      </c>
      <c r="H26" s="17"/>
      <c r="I26" s="6" t="s">
        <v>34</v>
      </c>
      <c r="J26" s="6" t="s">
        <v>93</v>
      </c>
      <c r="K26" s="6" t="s">
        <v>98</v>
      </c>
      <c r="L26" s="18" t="str">
        <f aca="false">IFERROR(VLOOKUP(J26,Catálogos!$J$4:$K$20,2,FALSE()),"Revisar objetivo")</f>
        <v>Por unidad</v>
      </c>
      <c r="M26" s="9" t="n">
        <v>392.5</v>
      </c>
      <c r="N26" s="19" t="n">
        <f aca="false">M26/Insights!$B$7</f>
        <v>50</v>
      </c>
      <c r="O26" s="20" t="n">
        <v>0.2355</v>
      </c>
      <c r="P26" s="13"/>
      <c r="Q26" s="21" t="n">
        <f aca="false">IF(OR(L26="Sin costo",O26=0),N(P26),M26/O26*IF(L26="Por mil",1000,1))</f>
        <v>1666.66666666667</v>
      </c>
      <c r="R26" s="22" t="n">
        <f aca="false">G26-F26+1</f>
        <v>5</v>
      </c>
      <c r="S26" s="5" t="str">
        <f aca="false">A26&amp;" | "&amp;E26&amp;" | "&amp;I26&amp;" | "&amp;J26</f>
        <v>ELE2609-022 | Talento Humano | Meta | Tráfico</v>
      </c>
    </row>
    <row r="27" customFormat="false" ht="15" hidden="false" customHeight="false" outlineLevel="0" collapsed="false">
      <c r="A27" s="6" t="s">
        <v>173</v>
      </c>
      <c r="B27" s="5" t="str">
        <f aca="false">Insights!$B$4</f>
        <v>Electroma</v>
      </c>
      <c r="C27" s="5" t="str">
        <f aca="false">Insights!$B$6</f>
        <v>2026-09</v>
      </c>
      <c r="D27" s="6" t="s">
        <v>149</v>
      </c>
      <c r="E27" s="6" t="s">
        <v>78</v>
      </c>
      <c r="F27" s="16" t="n">
        <v>46267</v>
      </c>
      <c r="G27" s="16" t="n">
        <v>46295</v>
      </c>
      <c r="H27" s="17"/>
      <c r="I27" s="6" t="s">
        <v>34</v>
      </c>
      <c r="J27" s="6" t="s">
        <v>102</v>
      </c>
      <c r="K27" s="6" t="s">
        <v>78</v>
      </c>
      <c r="L27" s="18" t="str">
        <f aca="false">IFERROR(VLOOKUP(J27,Catálogos!$J$4:$K$20,2,FALSE()),"Revisar objetivo")</f>
        <v>Por unidad</v>
      </c>
      <c r="M27" s="9" t="n">
        <v>2000.023</v>
      </c>
      <c r="N27" s="19" t="n">
        <f aca="false">M27/Insights!$B$7</f>
        <v>254.78</v>
      </c>
      <c r="O27" s="20" t="n">
        <v>25</v>
      </c>
      <c r="P27" s="13"/>
      <c r="Q27" s="21" t="n">
        <f aca="false">IF(OR(L27="Sin costo",O27=0),N(P27),M27/O27*IF(L27="Por mil",1000,1))</f>
        <v>80.00092</v>
      </c>
      <c r="R27" s="22" t="n">
        <f aca="false">G27-F27+1</f>
        <v>29</v>
      </c>
      <c r="S27" s="5" t="str">
        <f aca="false">A27&amp;" | "&amp;E27&amp;" | "&amp;I27&amp;" | "&amp;J27</f>
        <v>ELE2608-023 | Leads B2B | Meta | Lead Forms</v>
      </c>
    </row>
    <row r="28" customFormat="false" ht="23.85" hidden="false" customHeight="false" outlineLevel="0" collapsed="false">
      <c r="A28" s="6" t="s">
        <v>174</v>
      </c>
      <c r="B28" s="5" t="str">
        <f aca="false">Insights!$B$4</f>
        <v>Electroma</v>
      </c>
      <c r="C28" s="5" t="str">
        <f aca="false">Insights!$B$6</f>
        <v>2026-09</v>
      </c>
      <c r="D28" s="6" t="s">
        <v>149</v>
      </c>
      <c r="E28" s="6" t="s">
        <v>85</v>
      </c>
      <c r="F28" s="16" t="n">
        <v>46288</v>
      </c>
      <c r="G28" s="16" t="n">
        <v>46294</v>
      </c>
      <c r="H28" s="17"/>
      <c r="I28" s="6" t="s">
        <v>34</v>
      </c>
      <c r="J28" s="6" t="s">
        <v>93</v>
      </c>
      <c r="K28" s="6" t="s">
        <v>92</v>
      </c>
      <c r="L28" s="18" t="str">
        <f aca="false">IFERROR(VLOOKUP(J28,Catálogos!$J$4:$K$20,2,FALSE()),"Revisar objetivo")</f>
        <v>Por unidad</v>
      </c>
      <c r="M28" s="9" t="n">
        <v>1000</v>
      </c>
      <c r="N28" s="19" t="n">
        <f aca="false">M28/Insights!$B$7</f>
        <v>127.388535031847</v>
      </c>
      <c r="O28" s="20" t="n">
        <v>0.42</v>
      </c>
      <c r="P28" s="13"/>
      <c r="Q28" s="21" t="n">
        <f aca="false">IF(OR(L28="Sin costo",O28=0),N(P28),M28/O28*IF(L28="Por mil",1000,1))</f>
        <v>2380.95238095238</v>
      </c>
      <c r="R28" s="22" t="n">
        <f aca="false">G28-F28+1</f>
        <v>7</v>
      </c>
      <c r="S28" s="5" t="str">
        <f aca="false">A28&amp;" | "&amp;E28&amp;" | "&amp;I28&amp;" | "&amp;J28</f>
        <v>ELE2609-024 | Capacitación | Meta | Tráfico</v>
      </c>
    </row>
    <row r="29" customFormat="false" ht="15" hidden="false" customHeight="false" outlineLevel="0" collapsed="false">
      <c r="A29" s="6" t="s">
        <v>175</v>
      </c>
      <c r="B29" s="5" t="str">
        <f aca="false">Insights!$B$4</f>
        <v>Electroma</v>
      </c>
      <c r="C29" s="5" t="str">
        <f aca="false">Insights!$B$6</f>
        <v>2026-09</v>
      </c>
      <c r="D29" s="6" t="s">
        <v>149</v>
      </c>
      <c r="E29" s="6" t="s">
        <v>85</v>
      </c>
      <c r="F29" s="16" t="n">
        <v>46288</v>
      </c>
      <c r="G29" s="16" t="n">
        <v>46288</v>
      </c>
      <c r="H29" s="17"/>
      <c r="I29" s="6" t="s">
        <v>81</v>
      </c>
      <c r="J29" s="6" t="s">
        <v>104</v>
      </c>
      <c r="K29" s="6" t="s">
        <v>63</v>
      </c>
      <c r="L29" s="18" t="str">
        <f aca="false">IFERROR(VLOOKUP(J29,Catálogos!$J$4:$K$20,2,FALSE()),"Revisar objetivo")</f>
        <v>Por unidad</v>
      </c>
      <c r="M29" s="9" t="n">
        <v>1065</v>
      </c>
      <c r="N29" s="19" t="n">
        <f aca="false">M29/Insights!$B$7</f>
        <v>135.668789808917</v>
      </c>
      <c r="O29" s="20" t="n">
        <v>0.71</v>
      </c>
      <c r="P29" s="13"/>
      <c r="Q29" s="21" t="n">
        <f aca="false">IF(OR(L29="Sin costo",O29=0),N(P29),M29/O29*IF(L29="Por mil",1000,1))</f>
        <v>1500</v>
      </c>
      <c r="R29" s="22" t="n">
        <f aca="false">G29-F29+1</f>
        <v>1</v>
      </c>
      <c r="S29" s="5" t="str">
        <f aca="false">A29&amp;" | "&amp;E29&amp;" | "&amp;I29&amp;" | "&amp;J29</f>
        <v>ELE2609-025 | Capacitación | iSoft | WhatsApp masivo</v>
      </c>
    </row>
    <row r="30" customFormat="false" ht="15" hidden="false" customHeight="false" outlineLevel="0" collapsed="false">
      <c r="A30" s="6" t="s">
        <v>176</v>
      </c>
      <c r="B30" s="5" t="str">
        <f aca="false">Insights!$B$4</f>
        <v>Electroma</v>
      </c>
      <c r="C30" s="5" t="str">
        <f aca="false">Insights!$B$6</f>
        <v>2026-09</v>
      </c>
      <c r="D30" s="6" t="s">
        <v>177</v>
      </c>
      <c r="E30" s="6" t="s">
        <v>41</v>
      </c>
      <c r="F30" s="16" t="n">
        <v>46266</v>
      </c>
      <c r="G30" s="16" t="n">
        <v>46295</v>
      </c>
      <c r="H30" s="17"/>
      <c r="I30" s="6" t="s">
        <v>34</v>
      </c>
      <c r="J30" s="6" t="s">
        <v>82</v>
      </c>
      <c r="K30" s="6" t="s">
        <v>43</v>
      </c>
      <c r="L30" s="18" t="str">
        <f aca="false">IFERROR(VLOOKUP(J30,Catálogos!$J$4:$K$20,2,FALSE()),"Revisar objetivo")</f>
        <v>Por unidad</v>
      </c>
      <c r="M30" s="9" t="n">
        <v>0</v>
      </c>
      <c r="N30" s="19" t="n">
        <f aca="false">M30/Insights!$B$7</f>
        <v>0</v>
      </c>
      <c r="O30" s="20" t="n">
        <v>0.3</v>
      </c>
      <c r="P30" s="13"/>
      <c r="Q30" s="21" t="n">
        <f aca="false">IF(OR(L30="Sin costo",O30=0),N(P30),M30/O30*IF(L30="Por mil",1000,1))</f>
        <v>0</v>
      </c>
      <c r="R30" s="22" t="n">
        <f aca="false">G30-F30+1</f>
        <v>30</v>
      </c>
      <c r="S30" s="5" t="str">
        <f aca="false">A30&amp;" | "&amp;E30&amp;" | "&amp;I30&amp;" | "&amp;J30</f>
        <v>ELE2608-002 | Mantenimiento | Meta | Interacción</v>
      </c>
    </row>
    <row r="31" customFormat="false" ht="15" hidden="false" customHeight="false" outlineLevel="0" collapsed="false">
      <c r="A31" s="11" t="s">
        <v>121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2" t="n">
        <f aca="false">SUM(M5:M30)</f>
        <v>66148.336</v>
      </c>
      <c r="N31" s="23" t="n">
        <f aca="false">SUM(N5:N30)</f>
        <v>8426.53961783439</v>
      </c>
      <c r="O31" s="5"/>
      <c r="P31" s="5"/>
      <c r="Q31" s="5"/>
      <c r="R31" s="5"/>
      <c r="S31" s="5"/>
    </row>
    <row r="33" customFormat="false" ht="15" hidden="false" customHeight="false" outlineLevel="0" collapsed="false">
      <c r="A33" s="15" t="s">
        <v>178</v>
      </c>
    </row>
  </sheetData>
  <dataValidations count="4">
    <dataValidation allowBlank="true" errorStyle="stop" operator="between" showDropDown="false" showErrorMessage="false" showInputMessage="false" sqref="E5:E60" type="list">
      <formula1>Catálogos!$N$4:$N$11</formula1>
      <formula2>0</formula2>
    </dataValidation>
    <dataValidation allowBlank="true" errorStyle="stop" operator="between" showDropDown="false" showErrorMessage="false" showInputMessage="false" sqref="I5:I60" type="list">
      <formula1>Catálogos!$E$4:$E$12</formula1>
      <formula2>0</formula2>
    </dataValidation>
    <dataValidation allowBlank="true" errorStyle="stop" operator="between" showDropDown="false" showErrorMessage="false" showInputMessage="false" sqref="J5:J60" type="list">
      <formula1>Catálogos!$J$4:$J$20</formula1>
      <formula2>0</formula2>
    </dataValidation>
    <dataValidation allowBlank="true" errorStyle="stop" operator="between" showDropDown="false" showErrorMessage="false" showInputMessage="false" sqref="K5:K60" type="list">
      <formula1>Catálogos!$Q$4:$Q$16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4" min="4" style="0" width="21"/>
    <col collapsed="false" customWidth="true" hidden="false" outlineLevel="0" max="5" min="5" style="0" width="22"/>
    <col collapsed="false" customWidth="true" hidden="false" outlineLevel="0" max="6" min="6" style="0" width="9"/>
    <col collapsed="false" customWidth="true" hidden="false" outlineLevel="0" max="10" min="7" style="0" width="12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5" min="13" style="0" width="11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8" min="18" style="0" width="9"/>
    <col collapsed="false" customWidth="true" hidden="false" outlineLevel="0" max="19" min="19" style="0" width="10"/>
    <col collapsed="false" customWidth="true" hidden="false" outlineLevel="0" max="21" min="20" style="0" width="11"/>
    <col collapsed="false" customWidth="true" hidden="false" outlineLevel="0" max="23" min="22" style="0" width="12"/>
    <col collapsed="false" customWidth="true" hidden="false" outlineLevel="0" max="24" min="24" style="0" width="15"/>
  </cols>
  <sheetData>
    <row r="1" customFormat="false" ht="17.35" hidden="false" customHeight="false" outlineLevel="0" collapsed="false">
      <c r="A1" s="1" t="s">
        <v>179</v>
      </c>
    </row>
    <row r="2" customFormat="false" ht="15" hidden="false" customHeight="false" outlineLevel="0" collapsed="false">
      <c r="A2" s="15" t="s">
        <v>180</v>
      </c>
    </row>
    <row r="4" customFormat="false" ht="35.05" hidden="false" customHeight="false" outlineLevel="0" collapsed="false">
      <c r="A4" s="4" t="s">
        <v>19</v>
      </c>
      <c r="B4" s="4" t="s">
        <v>28</v>
      </c>
      <c r="C4" s="4" t="s">
        <v>21</v>
      </c>
      <c r="D4" s="4" t="s">
        <v>25</v>
      </c>
      <c r="E4" s="4" t="s">
        <v>181</v>
      </c>
      <c r="F4" s="4" t="s">
        <v>23</v>
      </c>
      <c r="G4" s="4" t="s">
        <v>182</v>
      </c>
      <c r="H4" s="4" t="s">
        <v>183</v>
      </c>
      <c r="I4" s="4" t="s">
        <v>141</v>
      </c>
      <c r="J4" s="4" t="s">
        <v>184</v>
      </c>
      <c r="K4" s="4" t="s">
        <v>185</v>
      </c>
      <c r="L4" s="4" t="s">
        <v>186</v>
      </c>
      <c r="M4" s="4" t="s">
        <v>187</v>
      </c>
      <c r="N4" s="4" t="s">
        <v>188</v>
      </c>
      <c r="O4" s="4" t="s">
        <v>189</v>
      </c>
      <c r="P4" s="4" t="s">
        <v>190</v>
      </c>
      <c r="Q4" s="4" t="s">
        <v>191</v>
      </c>
      <c r="R4" s="4" t="s">
        <v>192</v>
      </c>
      <c r="S4" s="4" t="s">
        <v>193</v>
      </c>
      <c r="T4" s="4" t="s">
        <v>194</v>
      </c>
      <c r="U4" s="4" t="s">
        <v>195</v>
      </c>
      <c r="V4" s="4" t="s">
        <v>196</v>
      </c>
      <c r="W4" s="4" t="s">
        <v>197</v>
      </c>
      <c r="X4" s="4" t="s">
        <v>198</v>
      </c>
    </row>
    <row r="5" customFormat="false" ht="15" hidden="false" customHeight="false" outlineLevel="0" collapsed="false">
      <c r="A5" s="5" t="str">
        <f aca="false">Plan!A5</f>
        <v>ELE2609-001</v>
      </c>
      <c r="B5" s="5" t="str">
        <f aca="false">Plan!E5</f>
        <v>Mantenimiento</v>
      </c>
      <c r="C5" s="5" t="str">
        <f aca="false">Plan!I5</f>
        <v>Meta</v>
      </c>
      <c r="D5" s="5" t="str">
        <f aca="false">Plan!J5</f>
        <v>Alcance</v>
      </c>
      <c r="E5" s="5" t="str">
        <f aca="false">Plan!K5</f>
        <v>Meta FB e IG</v>
      </c>
      <c r="F5" s="18" t="str">
        <f aca="false">IFERROR(VLOOKUP(C5,Catálogos!$E$4:$G$12,3,FALSE()),"Revisar medio")</f>
        <v>USD</v>
      </c>
      <c r="G5" s="24" t="n">
        <v>254.36</v>
      </c>
      <c r="H5" s="13" t="n">
        <v>596165</v>
      </c>
      <c r="I5" s="10" t="n">
        <f aca="false">Plan!M5</f>
        <v>2000</v>
      </c>
      <c r="J5" s="10" t="n">
        <f aca="false">IF(F5="USD",G5*Insights!$B$7,G5)</f>
        <v>1996.726</v>
      </c>
      <c r="K5" s="19" t="n">
        <f aca="false">J5/Insights!$B$7</f>
        <v>254.36</v>
      </c>
      <c r="L5" s="21" t="n">
        <f aca="false">Plan!Q5</f>
        <v>701754.385964912</v>
      </c>
      <c r="M5" s="25" t="n">
        <f aca="false">Plan!O5</f>
        <v>2.85</v>
      </c>
      <c r="N5" s="25" t="n">
        <f aca="false">IF(OR(H5=0,Plan!L5="Sin costo"),"",J5/H5*IF(Plan!L5="Por mil",1000,1))</f>
        <v>3.34928417468318</v>
      </c>
      <c r="O5" s="14" t="n">
        <f aca="false">IF(L5=0,"",H5/L5)</f>
        <v>0.849535125</v>
      </c>
      <c r="P5" s="10" t="n">
        <f aca="false">I5-J5</f>
        <v>3.27399999999989</v>
      </c>
      <c r="Q5" s="19" t="n">
        <f aca="false">P5/Insights!$B$7</f>
        <v>0.417070063694253</v>
      </c>
      <c r="R5" s="14" t="n">
        <f aca="false">IF(OR(M5=0,N5=""),"",N5/M5)</f>
        <v>1.1751874297134</v>
      </c>
      <c r="S5" s="22" t="n">
        <f aca="false">MAX(0,MIN(Insights!$B$8,Plan!G5)-Plan!F5+1)</f>
        <v>30</v>
      </c>
      <c r="T5" s="10" t="n">
        <f aca="false">I5/Plan!R5</f>
        <v>66.6666666666667</v>
      </c>
      <c r="U5" s="10" t="n">
        <f aca="false">IF(S5=0,"",J5/S5)</f>
        <v>66.5575333333333</v>
      </c>
      <c r="V5" s="21" t="n">
        <f aca="false">L5/Plan!R5</f>
        <v>23391.8128654971</v>
      </c>
      <c r="W5" s="21" t="n">
        <f aca="false">IF(S5=0,"",H5/S5)</f>
        <v>19872.1666666667</v>
      </c>
      <c r="X5" s="18" t="str">
        <f aca="false">IF(S5=0,"Sin iniciar",IF(J5&gt;I5*1.05,"Gastó de más",IF(AND(O5&lt;&gt;"",O5&lt;0.8),"Bajo proyección",IF(AND(R5&lt;&gt;"",R5&gt;1.2),"Costo alto","En línea"))))</f>
        <v>En línea</v>
      </c>
    </row>
    <row r="6" customFormat="false" ht="15" hidden="false" customHeight="false" outlineLevel="0" collapsed="false">
      <c r="A6" s="5" t="str">
        <f aca="false">Plan!A6</f>
        <v>ELE2609-002</v>
      </c>
      <c r="B6" s="5" t="str">
        <f aca="false">Plan!E6</f>
        <v>Mantenimiento</v>
      </c>
      <c r="C6" s="5" t="str">
        <f aca="false">Plan!I6</f>
        <v>Meta</v>
      </c>
      <c r="D6" s="5" t="str">
        <f aca="false">Plan!J6</f>
        <v>Interacción</v>
      </c>
      <c r="E6" s="5" t="str">
        <f aca="false">Plan!K6</f>
        <v>Meta FB e IG</v>
      </c>
      <c r="F6" s="18" t="str">
        <f aca="false">IFERROR(VLOOKUP(C6,Catálogos!$E$4:$G$12,3,FALSE()),"Revisar medio")</f>
        <v>USD</v>
      </c>
      <c r="G6" s="24" t="n">
        <v>335.65</v>
      </c>
      <c r="H6" s="13" t="n">
        <v>16356</v>
      </c>
      <c r="I6" s="10" t="n">
        <f aca="false">Plan!M6</f>
        <v>2715</v>
      </c>
      <c r="J6" s="10" t="n">
        <f aca="false">IF(F6="USD",G6*Insights!$B$7,G6)</f>
        <v>2634.8525</v>
      </c>
      <c r="K6" s="19" t="n">
        <f aca="false">J6/Insights!$B$7</f>
        <v>335.65</v>
      </c>
      <c r="L6" s="21" t="n">
        <f aca="false">Plan!Q6</f>
        <v>9050</v>
      </c>
      <c r="M6" s="25" t="n">
        <f aca="false">Plan!O6</f>
        <v>0.3</v>
      </c>
      <c r="N6" s="25" t="n">
        <f aca="false">IF(OR(H6=0,Plan!L6="Sin costo"),"",J6/H6*IF(Plan!L6="Por mil",1000,1))</f>
        <v>0.161093941061384</v>
      </c>
      <c r="O6" s="14" t="n">
        <f aca="false">IF(L6=0,"",H6/L6)</f>
        <v>1.80729281767956</v>
      </c>
      <c r="P6" s="10" t="n">
        <f aca="false">I6-J6</f>
        <v>80.1475000000005</v>
      </c>
      <c r="Q6" s="19" t="n">
        <f aca="false">P6/Insights!$B$7</f>
        <v>10.209872611465</v>
      </c>
      <c r="R6" s="14" t="n">
        <f aca="false">IF(OR(M6=0,N6=""),"",N6/M6)</f>
        <v>0.536979803537947</v>
      </c>
      <c r="S6" s="22" t="n">
        <f aca="false">MAX(0,MIN(Insights!$B$8,Plan!G6)-Plan!F6+1)</f>
        <v>30</v>
      </c>
      <c r="T6" s="10" t="n">
        <f aca="false">I6/Plan!R6</f>
        <v>90.5</v>
      </c>
      <c r="U6" s="10" t="n">
        <f aca="false">IF(S6=0,"",J6/S6)</f>
        <v>87.8284166666667</v>
      </c>
      <c r="V6" s="21" t="n">
        <f aca="false">L6/Plan!R6</f>
        <v>301.666666666667</v>
      </c>
      <c r="W6" s="21" t="n">
        <f aca="false">IF(S6=0,"",H6/S6)</f>
        <v>545.2</v>
      </c>
      <c r="X6" s="18" t="str">
        <f aca="false">IF(S6=0,"Sin iniciar",IF(J6&gt;I6*1.05,"Gastó de más",IF(AND(O6&lt;&gt;"",O6&lt;0.8),"Bajo proyección",IF(AND(R6&lt;&gt;"",R6&gt;1.2),"Costo alto","En línea"))))</f>
        <v>En línea</v>
      </c>
    </row>
    <row r="7" customFormat="false" ht="15" hidden="false" customHeight="false" outlineLevel="0" collapsed="false">
      <c r="A7" s="5" t="str">
        <f aca="false">Plan!A7</f>
        <v>ELE2608-003</v>
      </c>
      <c r="B7" s="5" t="str">
        <f aca="false">Plan!E7</f>
        <v>Mantenimiento</v>
      </c>
      <c r="C7" s="5" t="str">
        <f aca="false">Plan!I7</f>
        <v>Google Ads</v>
      </c>
      <c r="D7" s="5" t="str">
        <f aca="false">Plan!J7</f>
        <v>Search · Clics</v>
      </c>
      <c r="E7" s="5" t="str">
        <f aca="false">Plan!K7</f>
        <v>Google</v>
      </c>
      <c r="F7" s="18" t="str">
        <f aca="false">IFERROR(VLOOKUP(C7,Catálogos!$E$4:$G$12,3,FALSE()),"Revisar medio")</f>
        <v>USD</v>
      </c>
      <c r="G7" s="24" t="n">
        <v>463.13</v>
      </c>
      <c r="H7" s="13" t="n">
        <v>7500</v>
      </c>
      <c r="I7" s="10" t="n">
        <f aca="false">Plan!M7</f>
        <v>3500</v>
      </c>
      <c r="J7" s="10" t="n">
        <f aca="false">IF(F7="USD",G7*Insights!$B$7,G7)</f>
        <v>3635.5705</v>
      </c>
      <c r="K7" s="19" t="n">
        <f aca="false">J7/Insights!$B$7</f>
        <v>463.13</v>
      </c>
      <c r="L7" s="21" t="n">
        <f aca="false">Plan!Q7</f>
        <v>5384.61538461539</v>
      </c>
      <c r="M7" s="25" t="n">
        <f aca="false">Plan!O7</f>
        <v>0.65</v>
      </c>
      <c r="N7" s="25" t="n">
        <f aca="false">IF(OR(H7=0,Plan!L7="Sin costo"),"",J7/H7*IF(Plan!L7="Por mil",1000,1))</f>
        <v>0.484742733333333</v>
      </c>
      <c r="O7" s="14" t="n">
        <f aca="false">IF(L7=0,"",H7/L7)</f>
        <v>1.39285714285714</v>
      </c>
      <c r="P7" s="10" t="n">
        <f aca="false">I7-J7</f>
        <v>-135.5705</v>
      </c>
      <c r="Q7" s="19" t="n">
        <f aca="false">P7/Insights!$B$7</f>
        <v>-17.270127388535</v>
      </c>
      <c r="R7" s="14" t="n">
        <f aca="false">IF(OR(M7=0,N7=""),"",N7/M7)</f>
        <v>0.745758051282051</v>
      </c>
      <c r="S7" s="22" t="n">
        <f aca="false">MAX(0,MIN(Insights!$B$8,Plan!G7)-Plan!F7+1)</f>
        <v>30</v>
      </c>
      <c r="T7" s="10" t="n">
        <f aca="false">I7/Plan!R7</f>
        <v>116.666666666667</v>
      </c>
      <c r="U7" s="10" t="n">
        <f aca="false">IF(S7=0,"",J7/S7)</f>
        <v>121.185683333333</v>
      </c>
      <c r="V7" s="21" t="n">
        <f aca="false">L7/Plan!R7</f>
        <v>179.48717948718</v>
      </c>
      <c r="W7" s="21" t="n">
        <f aca="false">IF(S7=0,"",H7/S7)</f>
        <v>250</v>
      </c>
      <c r="X7" s="18" t="str">
        <f aca="false">IF(S7=0,"Sin iniciar",IF(J7&gt;I7*1.05,"Gastó de más",IF(AND(O7&lt;&gt;"",O7&lt;0.8),"Bajo proyección",IF(AND(R7&lt;&gt;"",R7&gt;1.2),"Costo alto","En línea"))))</f>
        <v>En línea</v>
      </c>
    </row>
    <row r="8" customFormat="false" ht="15" hidden="false" customHeight="false" outlineLevel="0" collapsed="false">
      <c r="A8" s="5" t="str">
        <f aca="false">Plan!A8</f>
        <v>ELE2609-004</v>
      </c>
      <c r="B8" s="5" t="str">
        <f aca="false">Plan!E8</f>
        <v>Mantenimiento</v>
      </c>
      <c r="C8" s="5" t="str">
        <f aca="false">Plan!I8</f>
        <v>TikTok</v>
      </c>
      <c r="D8" s="5" t="str">
        <f aca="false">Plan!J8</f>
        <v>Alcance</v>
      </c>
      <c r="E8" s="5" t="str">
        <f aca="false">Plan!K8</f>
        <v>Tik Tok</v>
      </c>
      <c r="F8" s="18" t="str">
        <f aca="false">IFERROR(VLOOKUP(C8,Catálogos!$E$4:$G$12,3,FALSE()),"Revisar medio")</f>
        <v>USD</v>
      </c>
      <c r="G8" s="24" t="n">
        <v>91.26</v>
      </c>
      <c r="H8" s="13" t="n">
        <v>408324</v>
      </c>
      <c r="I8" s="10" t="n">
        <f aca="false">Plan!M8</f>
        <v>2000</v>
      </c>
      <c r="J8" s="10" t="n">
        <f aca="false">IF(F8="USD",G8*Insights!$B$7,G8)</f>
        <v>716.391</v>
      </c>
      <c r="K8" s="19" t="n">
        <f aca="false">J8/Insights!$B$7</f>
        <v>91.26</v>
      </c>
      <c r="L8" s="21" t="n">
        <f aca="false">Plan!Q8</f>
        <v>833333.333333333</v>
      </c>
      <c r="M8" s="25" t="n">
        <f aca="false">Plan!O8</f>
        <v>2.4</v>
      </c>
      <c r="N8" s="25" t="n">
        <f aca="false">IF(OR(H8=0,Plan!L8="Sin costo"),"",J8/H8*IF(Plan!L8="Por mil",1000,1))</f>
        <v>1.7544670408793</v>
      </c>
      <c r="O8" s="14" t="n">
        <f aca="false">IF(L8=0,"",H8/L8)</f>
        <v>0.4899888</v>
      </c>
      <c r="P8" s="10" t="n">
        <f aca="false">I8-J8</f>
        <v>1283.609</v>
      </c>
      <c r="Q8" s="19" t="n">
        <f aca="false">P8/Insights!$B$7</f>
        <v>163.517070063694</v>
      </c>
      <c r="R8" s="14" t="n">
        <f aca="false">IF(OR(M8=0,N8=""),"",N8/M8)</f>
        <v>0.731027933699709</v>
      </c>
      <c r="S8" s="22" t="n">
        <f aca="false">MAX(0,MIN(Insights!$B$8,Plan!G8)-Plan!F8+1)</f>
        <v>30</v>
      </c>
      <c r="T8" s="10" t="n">
        <f aca="false">I8/Plan!R8</f>
        <v>66.6666666666667</v>
      </c>
      <c r="U8" s="10" t="n">
        <f aca="false">IF(S8=0,"",J8/S8)</f>
        <v>23.8797</v>
      </c>
      <c r="V8" s="21" t="n">
        <f aca="false">L8/Plan!R8</f>
        <v>27777.7777777778</v>
      </c>
      <c r="W8" s="21" t="n">
        <f aca="false">IF(S8=0,"",H8/S8)</f>
        <v>13610.8</v>
      </c>
      <c r="X8" s="18" t="str">
        <f aca="false">IF(S8=0,"Sin iniciar",IF(J8&gt;I8*1.05,"Gastó de más",IF(AND(O8&lt;&gt;"",O8&lt;0.8),"Bajo proyección",IF(AND(R8&lt;&gt;"",R8&gt;1.2),"Costo alto","En línea"))))</f>
        <v>Bajo proyección</v>
      </c>
    </row>
    <row r="9" customFormat="false" ht="15" hidden="false" customHeight="false" outlineLevel="0" collapsed="false">
      <c r="A9" s="5" t="str">
        <f aca="false">Plan!A9</f>
        <v>ELE2608-006</v>
      </c>
      <c r="B9" s="5" t="str">
        <f aca="false">Plan!E9</f>
        <v>Apoyo CC</v>
      </c>
      <c r="C9" s="5" t="str">
        <f aca="false">Plan!I9</f>
        <v>Meta</v>
      </c>
      <c r="D9" s="5" t="str">
        <f aca="false">Plan!J9</f>
        <v>Mensajes WhatsApp</v>
      </c>
      <c r="E9" s="5" t="str">
        <f aca="false">Plan!K9</f>
        <v>Meta FB e IG</v>
      </c>
      <c r="F9" s="18" t="str">
        <f aca="false">IFERROR(VLOOKUP(C9,Catálogos!$E$4:$G$12,3,FALSE()),"Revisar medio")</f>
        <v>USD</v>
      </c>
      <c r="G9" s="24" t="n">
        <v>445.42</v>
      </c>
      <c r="H9" s="13" t="n">
        <v>1480</v>
      </c>
      <c r="I9" s="10" t="n">
        <f aca="false">Plan!M9</f>
        <v>3500</v>
      </c>
      <c r="J9" s="10" t="n">
        <f aca="false">IF(F9="USD",G9*Insights!$B$7,G9)</f>
        <v>3496.547</v>
      </c>
      <c r="K9" s="19" t="n">
        <f aca="false">J9/Insights!$B$7</f>
        <v>445.42</v>
      </c>
      <c r="L9" s="21" t="n">
        <f aca="false">Plan!Q9</f>
        <v>1458.33333333333</v>
      </c>
      <c r="M9" s="25" t="n">
        <f aca="false">Plan!O9</f>
        <v>2.4</v>
      </c>
      <c r="N9" s="25" t="n">
        <f aca="false">IF(OR(H9=0,Plan!L9="Sin costo"),"",J9/H9*IF(Plan!L9="Por mil",1000,1))</f>
        <v>2.36253175675676</v>
      </c>
      <c r="O9" s="14" t="n">
        <f aca="false">IF(L9=0,"",H9/L9)</f>
        <v>1.01485714285714</v>
      </c>
      <c r="P9" s="10" t="n">
        <f aca="false">I9-J9</f>
        <v>3.45299999999997</v>
      </c>
      <c r="Q9" s="19" t="n">
        <f aca="false">P9/Insights!$B$7</f>
        <v>0.439872611464965</v>
      </c>
      <c r="R9" s="14" t="n">
        <f aca="false">IF(OR(M9=0,N9=""),"",N9/M9)</f>
        <v>0.984388231981982</v>
      </c>
      <c r="S9" s="22" t="n">
        <f aca="false">MAX(0,MIN(Insights!$B$8,Plan!G9)-Plan!F9+1)</f>
        <v>30</v>
      </c>
      <c r="T9" s="10" t="n">
        <f aca="false">I9/Plan!R9</f>
        <v>116.666666666667</v>
      </c>
      <c r="U9" s="10" t="n">
        <f aca="false">IF(S9=0,"",J9/S9)</f>
        <v>116.551566666667</v>
      </c>
      <c r="V9" s="21" t="n">
        <f aca="false">L9/Plan!R9</f>
        <v>48.6111111111111</v>
      </c>
      <c r="W9" s="21" t="n">
        <f aca="false">IF(S9=0,"",H9/S9)</f>
        <v>49.3333333333333</v>
      </c>
      <c r="X9" s="18" t="str">
        <f aca="false">IF(S9=0,"Sin iniciar",IF(J9&gt;I9*1.05,"Gastó de más",IF(AND(O9&lt;&gt;"",O9&lt;0.8),"Bajo proyección",IF(AND(R9&lt;&gt;"",R9&gt;1.2),"Costo alto","En línea"))))</f>
        <v>En línea</v>
      </c>
    </row>
    <row r="10" customFormat="false" ht="15" hidden="false" customHeight="false" outlineLevel="0" collapsed="false">
      <c r="A10" s="5" t="str">
        <f aca="false">Plan!A10</f>
        <v>ELE2609-006</v>
      </c>
      <c r="B10" s="5" t="str">
        <f aca="false">Plan!E10</f>
        <v>Promo CC</v>
      </c>
      <c r="C10" s="5" t="str">
        <f aca="false">Plan!I10</f>
        <v>Meta</v>
      </c>
      <c r="D10" s="5" t="str">
        <f aca="false">Plan!J10</f>
        <v>Mensajes WhatsApp</v>
      </c>
      <c r="E10" s="5" t="str">
        <f aca="false">Plan!K10</f>
        <v>Meta FB e IG</v>
      </c>
      <c r="F10" s="18" t="str">
        <f aca="false">IFERROR(VLOOKUP(C10,Catálogos!$E$4:$G$12,3,FALSE()),"Revisar medio")</f>
        <v>USD</v>
      </c>
      <c r="G10" s="24" t="n">
        <v>254.75</v>
      </c>
      <c r="H10" s="13" t="n">
        <v>548</v>
      </c>
      <c r="I10" s="10" t="n">
        <f aca="false">Plan!M10</f>
        <v>2000.023</v>
      </c>
      <c r="J10" s="10" t="n">
        <f aca="false">IF(F10="USD",G10*Insights!$B$7,G10)</f>
        <v>1999.7875</v>
      </c>
      <c r="K10" s="19" t="n">
        <f aca="false">J10/Insights!$B$7</f>
        <v>254.75</v>
      </c>
      <c r="L10" s="21" t="n">
        <f aca="false">Plan!Q10</f>
        <v>500.00575</v>
      </c>
      <c r="M10" s="25" t="n">
        <f aca="false">Plan!O10</f>
        <v>4</v>
      </c>
      <c r="N10" s="25" t="n">
        <f aca="false">IF(OR(H10=0,Plan!L10="Sin costo"),"",J10/H10*IF(Plan!L10="Por mil",1000,1))</f>
        <v>3.64924726277372</v>
      </c>
      <c r="O10" s="14" t="n">
        <f aca="false">IF(L10=0,"",H10/L10)</f>
        <v>1.09598739614494</v>
      </c>
      <c r="P10" s="10" t="n">
        <f aca="false">I10-J10</f>
        <v>0.235500000000002</v>
      </c>
      <c r="Q10" s="19" t="n">
        <f aca="false">P10/Insights!$B$7</f>
        <v>0.0300000000000002</v>
      </c>
      <c r="R10" s="14" t="n">
        <f aca="false">IF(OR(M10=0,N10=""),"",N10/M10)</f>
        <v>0.912311815693431</v>
      </c>
      <c r="S10" s="22" t="n">
        <f aca="false">MAX(0,MIN(Insights!$B$8,Plan!G10)-Plan!F10+1)</f>
        <v>6</v>
      </c>
      <c r="T10" s="10" t="n">
        <f aca="false">I10/Plan!R10</f>
        <v>333.337166666667</v>
      </c>
      <c r="U10" s="10" t="n">
        <f aca="false">IF(S10=0,"",J10/S10)</f>
        <v>333.297916666667</v>
      </c>
      <c r="V10" s="21" t="n">
        <f aca="false">L10/Plan!R10</f>
        <v>83.3342916666667</v>
      </c>
      <c r="W10" s="21" t="n">
        <f aca="false">IF(S10=0,"",H10/S10)</f>
        <v>91.3333333333333</v>
      </c>
      <c r="X10" s="18" t="str">
        <f aca="false">IF(S10=0,"Sin iniciar",IF(J10&gt;I10*1.05,"Gastó de más",IF(AND(O10&lt;&gt;"",O10&lt;0.8),"Bajo proyección",IF(AND(R10&lt;&gt;"",R10&gt;1.2),"Costo alto","En línea"))))</f>
        <v>En línea</v>
      </c>
    </row>
    <row r="11" customFormat="false" ht="15" hidden="false" customHeight="false" outlineLevel="0" collapsed="false">
      <c r="A11" s="5" t="str">
        <f aca="false">Plan!A11</f>
        <v>ELE2609-007</v>
      </c>
      <c r="B11" s="5" t="str">
        <f aca="false">Plan!E11</f>
        <v>Electro Independencia</v>
      </c>
      <c r="C11" s="5" t="str">
        <f aca="false">Plan!I11</f>
        <v>Meta</v>
      </c>
      <c r="D11" s="5" t="str">
        <f aca="false">Plan!J11</f>
        <v>Alcance geolocalizado</v>
      </c>
      <c r="E11" s="5" t="str">
        <f aca="false">Plan!K11</f>
        <v>Meta FB e IG</v>
      </c>
      <c r="F11" s="18" t="str">
        <f aca="false">IFERROR(VLOOKUP(C11,Catálogos!$E$4:$G$12,3,FALSE()),"Revisar medio")</f>
        <v>USD</v>
      </c>
      <c r="G11" s="24" t="n">
        <v>1528.66</v>
      </c>
      <c r="H11" s="13" t="n">
        <v>3088427</v>
      </c>
      <c r="I11" s="10" t="n">
        <f aca="false">Plan!M11</f>
        <v>12000</v>
      </c>
      <c r="J11" s="10" t="n">
        <f aca="false">IF(F11="USD",G11*Insights!$B$7,G11)</f>
        <v>11999.981</v>
      </c>
      <c r="K11" s="19" t="n">
        <f aca="false">J11/Insights!$B$7</f>
        <v>1528.66</v>
      </c>
      <c r="L11" s="21" t="n">
        <f aca="false">Plan!Q11</f>
        <v>3076923.07692308</v>
      </c>
      <c r="M11" s="25" t="n">
        <f aca="false">Plan!O11</f>
        <v>3.9</v>
      </c>
      <c r="N11" s="25" t="n">
        <f aca="false">IF(OR(H11=0,Plan!L11="Sin costo"),"",J11/H11*IF(Plan!L11="Por mil",1000,1))</f>
        <v>3.88546693834758</v>
      </c>
      <c r="O11" s="14" t="n">
        <f aca="false">IF(L11=0,"",H11/L11)</f>
        <v>1.003738775</v>
      </c>
      <c r="P11" s="10" t="n">
        <f aca="false">I11-J11</f>
        <v>0.0190000000002328</v>
      </c>
      <c r="Q11" s="19" t="n">
        <f aca="false">P11/Insights!$B$7</f>
        <v>0.00242038216563476</v>
      </c>
      <c r="R11" s="14" t="n">
        <f aca="false">IF(OR(M11=0,N11=""),"",N11/M11)</f>
        <v>0.996273573935277</v>
      </c>
      <c r="S11" s="22" t="n">
        <f aca="false">MAX(0,MIN(Insights!$B$8,Plan!G11)-Plan!F11+1)</f>
        <v>10</v>
      </c>
      <c r="T11" s="10" t="n">
        <f aca="false">I11/Plan!R11</f>
        <v>1200</v>
      </c>
      <c r="U11" s="10" t="n">
        <f aca="false">IF(S11=0,"",J11/S11)</f>
        <v>1199.9981</v>
      </c>
      <c r="V11" s="21" t="n">
        <f aca="false">L11/Plan!R11</f>
        <v>307692.307692308</v>
      </c>
      <c r="W11" s="21" t="n">
        <f aca="false">IF(S11=0,"",H11/S11)</f>
        <v>308842.7</v>
      </c>
      <c r="X11" s="18" t="str">
        <f aca="false">IF(S11=0,"Sin iniciar",IF(J11&gt;I11*1.05,"Gastó de más",IF(AND(O11&lt;&gt;"",O11&lt;0.8),"Bajo proyección",IF(AND(R11&lt;&gt;"",R11&gt;1.2),"Costo alto","En línea"))))</f>
        <v>En línea</v>
      </c>
    </row>
    <row r="12" customFormat="false" ht="15" hidden="false" customHeight="false" outlineLevel="0" collapsed="false">
      <c r="A12" s="5" t="str">
        <f aca="false">Plan!A12</f>
        <v>ELE2609-008</v>
      </c>
      <c r="B12" s="5" t="str">
        <f aca="false">Plan!E12</f>
        <v>Electro Independencia</v>
      </c>
      <c r="C12" s="5" t="str">
        <f aca="false">Plan!I12</f>
        <v>TikTok</v>
      </c>
      <c r="D12" s="5" t="str">
        <f aca="false">Plan!J12</f>
        <v>Alcance / Video view</v>
      </c>
      <c r="E12" s="5" t="str">
        <f aca="false">Plan!K12</f>
        <v>Tik Tok</v>
      </c>
      <c r="F12" s="18" t="str">
        <f aca="false">IFERROR(VLOOKUP(C12,Catálogos!$E$4:$G$12,3,FALSE()),"Revisar medio")</f>
        <v>USD</v>
      </c>
      <c r="G12" s="24" t="n">
        <v>652.79</v>
      </c>
      <c r="H12" s="13" t="n">
        <v>1928940</v>
      </c>
      <c r="I12" s="10" t="n">
        <f aca="false">Plan!M12</f>
        <v>6454.18</v>
      </c>
      <c r="J12" s="10" t="n">
        <f aca="false">IF(F12="USD",G12*Insights!$B$7,G12)</f>
        <v>5124.4015</v>
      </c>
      <c r="K12" s="19" t="n">
        <f aca="false">J12/Insights!$B$7</f>
        <v>652.79</v>
      </c>
      <c r="L12" s="21" t="n">
        <f aca="false">Plan!Q12</f>
        <v>2689241.66666667</v>
      </c>
      <c r="M12" s="25" t="n">
        <f aca="false">Plan!O12</f>
        <v>2.4</v>
      </c>
      <c r="N12" s="25" t="n">
        <f aca="false">IF(OR(H12=0,Plan!L12="Sin costo"),"",J12/H12*IF(Plan!L12="Por mil",1000,1))</f>
        <v>2.65658937032774</v>
      </c>
      <c r="O12" s="14" t="n">
        <f aca="false">IF(L12=0,"",H12/L12)</f>
        <v>0.717280274178904</v>
      </c>
      <c r="P12" s="10" t="n">
        <f aca="false">I12-J12</f>
        <v>1329.7785</v>
      </c>
      <c r="Q12" s="19" t="n">
        <f aca="false">P12/Insights!$B$7</f>
        <v>169.398535031847</v>
      </c>
      <c r="R12" s="14" t="n">
        <f aca="false">IF(OR(M12=0,N12=""),"",N12/M12)</f>
        <v>1.10691223763656</v>
      </c>
      <c r="S12" s="22" t="n">
        <f aca="false">MAX(0,MIN(Insights!$B$8,Plan!G12)-Plan!F12+1)</f>
        <v>7</v>
      </c>
      <c r="T12" s="10" t="n">
        <f aca="false">I12/Plan!R12</f>
        <v>922.025714285714</v>
      </c>
      <c r="U12" s="10" t="n">
        <f aca="false">IF(S12=0,"",J12/S12)</f>
        <v>732.057357142857</v>
      </c>
      <c r="V12" s="21" t="n">
        <f aca="false">L12/Plan!R12</f>
        <v>384177.380952381</v>
      </c>
      <c r="W12" s="21" t="n">
        <f aca="false">IF(S12=0,"",H12/S12)</f>
        <v>275562.857142857</v>
      </c>
      <c r="X12" s="18" t="str">
        <f aca="false">IF(S12=0,"Sin iniciar",IF(J12&gt;I12*1.05,"Gastó de más",IF(AND(O12&lt;&gt;"",O12&lt;0.8),"Bajo proyección",IF(AND(R12&lt;&gt;"",R12&gt;1.2),"Costo alto","En línea"))))</f>
        <v>Bajo proyección</v>
      </c>
    </row>
    <row r="13" customFormat="false" ht="15" hidden="false" customHeight="false" outlineLevel="0" collapsed="false">
      <c r="A13" s="5" t="str">
        <f aca="false">Plan!A13</f>
        <v>ELE2609-009</v>
      </c>
      <c r="B13" s="5" t="str">
        <f aca="false">Plan!E13</f>
        <v>Electro Independencia</v>
      </c>
      <c r="C13" s="5" t="str">
        <f aca="false">Plan!I13</f>
        <v>YouTube</v>
      </c>
      <c r="D13" s="5" t="str">
        <f aca="false">Plan!J13</f>
        <v>Bumper / Instream</v>
      </c>
      <c r="E13" s="5" t="str">
        <f aca="false">Plan!K13</f>
        <v>YouTube</v>
      </c>
      <c r="F13" s="18" t="str">
        <f aca="false">IFERROR(VLOOKUP(C13,Catálogos!$E$4:$G$12,3,FALSE()),"Revisar medio")</f>
        <v>USD</v>
      </c>
      <c r="G13" s="24" t="n">
        <v>635.75</v>
      </c>
      <c r="H13" s="13" t="n">
        <v>1177764</v>
      </c>
      <c r="I13" s="10" t="n">
        <f aca="false">Plan!M13</f>
        <v>5000</v>
      </c>
      <c r="J13" s="10" t="n">
        <f aca="false">IF(F13="USD",G13*Insights!$B$7,G13)</f>
        <v>4990.6375</v>
      </c>
      <c r="K13" s="19" t="n">
        <f aca="false">J13/Insights!$B$7</f>
        <v>635.75</v>
      </c>
      <c r="L13" s="21" t="n">
        <f aca="false">Plan!Q13</f>
        <v>1428571.42857143</v>
      </c>
      <c r="M13" s="25" t="n">
        <f aca="false">Plan!O13</f>
        <v>3.5</v>
      </c>
      <c r="N13" s="25" t="n">
        <f aca="false">IF(OR(H13=0,Plan!L13="Sin costo"),"",J13/H13*IF(Plan!L13="Por mil",1000,1))</f>
        <v>4.23738329580459</v>
      </c>
      <c r="O13" s="14" t="n">
        <f aca="false">IF(L13=0,"",H13/L13)</f>
        <v>0.8244348</v>
      </c>
      <c r="P13" s="10" t="n">
        <f aca="false">I13-J13</f>
        <v>9.36250000000018</v>
      </c>
      <c r="Q13" s="19" t="n">
        <f aca="false">P13/Insights!$B$7</f>
        <v>1.19267515923569</v>
      </c>
      <c r="R13" s="14" t="n">
        <f aca="false">IF(OR(M13=0,N13=""),"",N13/M13)</f>
        <v>1.21068094165846</v>
      </c>
      <c r="S13" s="22" t="n">
        <f aca="false">MAX(0,MIN(Insights!$B$8,Plan!G13)-Plan!F13+1)</f>
        <v>7</v>
      </c>
      <c r="T13" s="10" t="n">
        <f aca="false">I13/Plan!R13</f>
        <v>714.285714285714</v>
      </c>
      <c r="U13" s="10" t="n">
        <f aca="false">IF(S13=0,"",J13/S13)</f>
        <v>712.948214285714</v>
      </c>
      <c r="V13" s="21" t="n">
        <f aca="false">L13/Plan!R13</f>
        <v>204081.632653061</v>
      </c>
      <c r="W13" s="21" t="n">
        <f aca="false">IF(S13=0,"",H13/S13)</f>
        <v>168252</v>
      </c>
      <c r="X13" s="18" t="str">
        <f aca="false">IF(S13=0,"Sin iniciar",IF(J13&gt;I13*1.05,"Gastó de más",IF(AND(O13&lt;&gt;"",O13&lt;0.8),"Bajo proyección",IF(AND(R13&lt;&gt;"",R13&gt;1.2),"Costo alto","En línea"))))</f>
        <v>Costo alto</v>
      </c>
    </row>
    <row r="14" customFormat="false" ht="15" hidden="false" customHeight="false" outlineLevel="0" collapsed="false">
      <c r="A14" s="5" t="str">
        <f aca="false">Plan!A14</f>
        <v>ELE2609-010</v>
      </c>
      <c r="B14" s="5" t="str">
        <f aca="false">Plan!E14</f>
        <v>Electro Independencia</v>
      </c>
      <c r="C14" s="5" t="str">
        <f aca="false">Plan!I14</f>
        <v>Basis</v>
      </c>
      <c r="D14" s="5" t="str">
        <f aca="false">Plan!J14</f>
        <v>Display programático</v>
      </c>
      <c r="E14" s="5" t="str">
        <f aca="false">Plan!K14</f>
        <v>Programatic</v>
      </c>
      <c r="F14" s="18" t="str">
        <f aca="false">IFERROR(VLOOKUP(C14,Catálogos!$E$4:$G$12,3,FALSE()),"Revisar medio")</f>
        <v>USD</v>
      </c>
      <c r="G14" s="24" t="n">
        <v>547.64</v>
      </c>
      <c r="H14" s="13" t="n">
        <v>894893</v>
      </c>
      <c r="I14" s="10" t="n">
        <f aca="false">Plan!M14</f>
        <v>4300</v>
      </c>
      <c r="J14" s="10" t="n">
        <f aca="false">IF(F14="USD",G14*Insights!$B$7,G14)</f>
        <v>4298.974</v>
      </c>
      <c r="K14" s="19" t="n">
        <f aca="false">J14/Insights!$B$7</f>
        <v>547.64</v>
      </c>
      <c r="L14" s="21" t="n">
        <f aca="false">Plan!Q14</f>
        <v>694668.820678514</v>
      </c>
      <c r="M14" s="25" t="n">
        <f aca="false">Plan!O14</f>
        <v>6.19</v>
      </c>
      <c r="N14" s="25" t="n">
        <f aca="false">IF(OR(H14=0,Plan!L14="Sin costo"),"",J14/H14*IF(Plan!L14="Por mil",1000,1))</f>
        <v>4.80389722570184</v>
      </c>
      <c r="O14" s="14" t="n">
        <f aca="false">IF(L14=0,"",H14/L14)</f>
        <v>1.28822969069767</v>
      </c>
      <c r="P14" s="10" t="n">
        <f aca="false">I14-J14</f>
        <v>1.02600000000075</v>
      </c>
      <c r="Q14" s="19" t="n">
        <f aca="false">P14/Insights!$B$7</f>
        <v>0.130700636942771</v>
      </c>
      <c r="R14" s="14" t="n">
        <f aca="false">IF(OR(M14=0,N14=""),"",N14/M14)</f>
        <v>0.776073865218391</v>
      </c>
      <c r="S14" s="22" t="n">
        <f aca="false">MAX(0,MIN(Insights!$B$8,Plan!G14)-Plan!F14+1)</f>
        <v>7</v>
      </c>
      <c r="T14" s="10" t="n">
        <f aca="false">I14/Plan!R14</f>
        <v>614.285714285714</v>
      </c>
      <c r="U14" s="10" t="n">
        <f aca="false">IF(S14=0,"",J14/S14)</f>
        <v>614.139142857143</v>
      </c>
      <c r="V14" s="21" t="n">
        <f aca="false">L14/Plan!R14</f>
        <v>99238.4029540734</v>
      </c>
      <c r="W14" s="21" t="n">
        <f aca="false">IF(S14=0,"",H14/S14)</f>
        <v>127841.857142857</v>
      </c>
      <c r="X14" s="18" t="str">
        <f aca="false">IF(S14=0,"Sin iniciar",IF(J14&gt;I14*1.05,"Gastó de más",IF(AND(O14&lt;&gt;"",O14&lt;0.8),"Bajo proyección",IF(AND(R14&lt;&gt;"",R14&gt;1.2),"Costo alto","En línea"))))</f>
        <v>En línea</v>
      </c>
    </row>
    <row r="15" customFormat="false" ht="15" hidden="false" customHeight="false" outlineLevel="0" collapsed="false">
      <c r="A15" s="5" t="str">
        <f aca="false">Plan!A15</f>
        <v>ELE2609-011</v>
      </c>
      <c r="B15" s="5" t="str">
        <f aca="false">Plan!E15</f>
        <v>Electro Independencia</v>
      </c>
      <c r="C15" s="5" t="str">
        <f aca="false">Plan!I15</f>
        <v>Google Ads</v>
      </c>
      <c r="D15" s="5" t="str">
        <f aca="false">Plan!J15</f>
        <v>Demand Gen · Alcance</v>
      </c>
      <c r="E15" s="5" t="str">
        <f aca="false">Plan!K15</f>
        <v>Google</v>
      </c>
      <c r="F15" s="18" t="str">
        <f aca="false">IFERROR(VLOOKUP(C15,Catálogos!$E$4:$G$12,3,FALSE()),"Revisar medio")</f>
        <v>USD</v>
      </c>
      <c r="G15" s="24" t="n">
        <v>350.17</v>
      </c>
      <c r="H15" s="13" t="n">
        <v>336884</v>
      </c>
      <c r="I15" s="10" t="n">
        <f aca="false">Plan!M15</f>
        <v>2756.61</v>
      </c>
      <c r="J15" s="10" t="n">
        <f aca="false">IF(F15="USD",G15*Insights!$B$7,G15)</f>
        <v>2748.8345</v>
      </c>
      <c r="K15" s="19" t="n">
        <f aca="false">J15/Insights!$B$7</f>
        <v>350.17</v>
      </c>
      <c r="L15" s="21" t="n">
        <f aca="false">Plan!Q15</f>
        <v>352507.672634271</v>
      </c>
      <c r="M15" s="25" t="n">
        <f aca="false">Plan!O15</f>
        <v>7.82</v>
      </c>
      <c r="N15" s="25" t="n">
        <f aca="false">IF(OR(H15=0,Plan!L15="Sin costo"),"",J15/H15*IF(Plan!L15="Por mil",1000,1))</f>
        <v>8.15958757317059</v>
      </c>
      <c r="O15" s="14" t="n">
        <f aca="false">IF(L15=0,"",H15/L15)</f>
        <v>0.955678489158786</v>
      </c>
      <c r="P15" s="10" t="n">
        <f aca="false">I15-J15</f>
        <v>7.77550000000019</v>
      </c>
      <c r="Q15" s="19" t="n">
        <f aca="false">P15/Insights!$B$7</f>
        <v>0.990509554140152</v>
      </c>
      <c r="R15" s="14" t="n">
        <f aca="false">IF(OR(M15=0,N15=""),"",N15/M15)</f>
        <v>1.0434255208658</v>
      </c>
      <c r="S15" s="22" t="n">
        <f aca="false">MAX(0,MIN(Insights!$B$8,Plan!G15)-Plan!F15+1)</f>
        <v>7</v>
      </c>
      <c r="T15" s="10" t="n">
        <f aca="false">I15/Plan!R15</f>
        <v>393.801428571429</v>
      </c>
      <c r="U15" s="10" t="n">
        <f aca="false">IF(S15=0,"",J15/S15)</f>
        <v>392.690642857143</v>
      </c>
      <c r="V15" s="21" t="n">
        <f aca="false">L15/Plan!R15</f>
        <v>50358.238947753</v>
      </c>
      <c r="W15" s="21" t="n">
        <f aca="false">IF(S15=0,"",H15/S15)</f>
        <v>48126.2857142857</v>
      </c>
      <c r="X15" s="18" t="str">
        <f aca="false">IF(S15=0,"Sin iniciar",IF(J15&gt;I15*1.05,"Gastó de más",IF(AND(O15&lt;&gt;"",O15&lt;0.8),"Bajo proyección",IF(AND(R15&lt;&gt;"",R15&gt;1.2),"Costo alto","En línea"))))</f>
        <v>En línea</v>
      </c>
    </row>
    <row r="16" customFormat="false" ht="15" hidden="false" customHeight="false" outlineLevel="0" collapsed="false">
      <c r="A16" s="5" t="str">
        <f aca="false">Plan!A16</f>
        <v>ELE2609-012</v>
      </c>
      <c r="B16" s="5" t="str">
        <f aca="false">Plan!E16</f>
        <v>Electro Independencia</v>
      </c>
      <c r="C16" s="5" t="str">
        <f aca="false">Plan!I16</f>
        <v>Claro</v>
      </c>
      <c r="D16" s="5" t="str">
        <f aca="false">Plan!J16</f>
        <v>SMS geolocalizado</v>
      </c>
      <c r="E16" s="5" t="str">
        <f aca="false">Plan!K16</f>
        <v>Programatic</v>
      </c>
      <c r="F16" s="18" t="str">
        <f aca="false">IFERROR(VLOOKUP(C16,Catálogos!$E$4:$G$12,3,FALSE()),"Revisar medio")</f>
        <v>GTQ</v>
      </c>
      <c r="G16" s="24" t="n">
        <v>999.999</v>
      </c>
      <c r="H16" s="13" t="n">
        <v>12987</v>
      </c>
      <c r="I16" s="10" t="n">
        <f aca="false">Plan!M16</f>
        <v>1000</v>
      </c>
      <c r="J16" s="10" t="n">
        <f aca="false">IF(F16="USD",G16*Insights!$B$7,G16)</f>
        <v>999.999</v>
      </c>
      <c r="K16" s="19" t="n">
        <f aca="false">J16/Insights!$B$7</f>
        <v>127.388407643312</v>
      </c>
      <c r="L16" s="21" t="n">
        <f aca="false">Plan!Q16</f>
        <v>12987.012987013</v>
      </c>
      <c r="M16" s="25" t="n">
        <f aca="false">Plan!O16</f>
        <v>77</v>
      </c>
      <c r="N16" s="25" t="n">
        <f aca="false">IF(OR(H16=0,Plan!L16="Sin costo"),"",J16/H16*IF(Plan!L16="Por mil",1000,1))</f>
        <v>77</v>
      </c>
      <c r="O16" s="14" t="n">
        <f aca="false">IF(L16=0,"",H16/L16)</f>
        <v>0.999999</v>
      </c>
      <c r="P16" s="10" t="n">
        <f aca="false">I16-J16</f>
        <v>0.000999999999976353</v>
      </c>
      <c r="Q16" s="19" t="n">
        <f aca="false">P16/Insights!$B$7</f>
        <v>0.000127388535028835</v>
      </c>
      <c r="R16" s="14" t="n">
        <f aca="false">IF(OR(M16=0,N16=""),"",N16/M16)</f>
        <v>1</v>
      </c>
      <c r="S16" s="22" t="n">
        <f aca="false">MAX(0,MIN(Insights!$B$8,Plan!G16)-Plan!F16+1)</f>
        <v>1</v>
      </c>
      <c r="T16" s="10" t="n">
        <f aca="false">I16/Plan!R16</f>
        <v>1000</v>
      </c>
      <c r="U16" s="10" t="n">
        <f aca="false">IF(S16=0,"",J16/S16)</f>
        <v>999.999</v>
      </c>
      <c r="V16" s="21" t="n">
        <f aca="false">L16/Plan!R16</f>
        <v>12987.012987013</v>
      </c>
      <c r="W16" s="21" t="n">
        <f aca="false">IF(S16=0,"",H16/S16)</f>
        <v>12987</v>
      </c>
      <c r="X16" s="18" t="str">
        <f aca="false">IF(S16=0,"Sin iniciar",IF(J16&gt;I16*1.05,"Gastó de más",IF(AND(O16&lt;&gt;"",O16&lt;0.8),"Bajo proyección",IF(AND(R16&lt;&gt;"",R16&gt;1.2),"Costo alto","En línea"))))</f>
        <v>En línea</v>
      </c>
    </row>
    <row r="17" customFormat="false" ht="15" hidden="false" customHeight="false" outlineLevel="0" collapsed="false">
      <c r="A17" s="5" t="str">
        <f aca="false">Plan!A17</f>
        <v>ELE2609-013</v>
      </c>
      <c r="B17" s="5" t="str">
        <f aca="false">Plan!E17</f>
        <v>Electro Independencia</v>
      </c>
      <c r="C17" s="5" t="str">
        <f aca="false">Plan!I17</f>
        <v>Claro</v>
      </c>
      <c r="D17" s="5" t="str">
        <f aca="false">Plan!J17</f>
        <v>SMS geolocalizado</v>
      </c>
      <c r="E17" s="5" t="str">
        <f aca="false">Plan!K17</f>
        <v>Programatic</v>
      </c>
      <c r="F17" s="18" t="str">
        <f aca="false">IFERROR(VLOOKUP(C17,Catálogos!$E$4:$G$12,3,FALSE()),"Revisar medio")</f>
        <v>GTQ</v>
      </c>
      <c r="G17" s="24" t="n">
        <v>999.999</v>
      </c>
      <c r="H17" s="13" t="n">
        <v>12987</v>
      </c>
      <c r="I17" s="10" t="n">
        <f aca="false">Plan!M17</f>
        <v>1000</v>
      </c>
      <c r="J17" s="10" t="n">
        <f aca="false">IF(F17="USD",G17*Insights!$B$7,G17)</f>
        <v>999.999</v>
      </c>
      <c r="K17" s="19" t="n">
        <f aca="false">J17/Insights!$B$7</f>
        <v>127.388407643312</v>
      </c>
      <c r="L17" s="21" t="n">
        <f aca="false">Plan!Q17</f>
        <v>12987.012987013</v>
      </c>
      <c r="M17" s="25" t="n">
        <f aca="false">Plan!O17</f>
        <v>77</v>
      </c>
      <c r="N17" s="25" t="n">
        <f aca="false">IF(OR(H17=0,Plan!L17="Sin costo"),"",J17/H17*IF(Plan!L17="Por mil",1000,1))</f>
        <v>77</v>
      </c>
      <c r="O17" s="14" t="n">
        <f aca="false">IF(L17=0,"",H17/L17)</f>
        <v>0.999999</v>
      </c>
      <c r="P17" s="10" t="n">
        <f aca="false">I17-J17</f>
        <v>0.000999999999976353</v>
      </c>
      <c r="Q17" s="19" t="n">
        <f aca="false">P17/Insights!$B$7</f>
        <v>0.000127388535028835</v>
      </c>
      <c r="R17" s="14" t="n">
        <f aca="false">IF(OR(M17=0,N17=""),"",N17/M17)</f>
        <v>1</v>
      </c>
      <c r="S17" s="22" t="n">
        <f aca="false">MAX(0,MIN(Insights!$B$8,Plan!G17)-Plan!F17+1)</f>
        <v>1</v>
      </c>
      <c r="T17" s="10" t="n">
        <f aca="false">I17/Plan!R17</f>
        <v>1000</v>
      </c>
      <c r="U17" s="10" t="n">
        <f aca="false">IF(S17=0,"",J17/S17)</f>
        <v>999.999</v>
      </c>
      <c r="V17" s="21" t="n">
        <f aca="false">L17/Plan!R17</f>
        <v>12987.012987013</v>
      </c>
      <c r="W17" s="21" t="n">
        <f aca="false">IF(S17=0,"",H17/S17)</f>
        <v>12987</v>
      </c>
      <c r="X17" s="18" t="str">
        <f aca="false">IF(S17=0,"Sin iniciar",IF(J17&gt;I17*1.05,"Gastó de más",IF(AND(O17&lt;&gt;"",O17&lt;0.8),"Bajo proyección",IF(AND(R17&lt;&gt;"",R17&gt;1.2),"Costo alto","En línea"))))</f>
        <v>En línea</v>
      </c>
    </row>
    <row r="18" customFormat="false" ht="15" hidden="false" customHeight="false" outlineLevel="0" collapsed="false">
      <c r="A18" s="5" t="str">
        <f aca="false">Plan!A18</f>
        <v>ELE2609-014</v>
      </c>
      <c r="B18" s="5" t="str">
        <f aca="false">Plan!E18</f>
        <v>Electro Independencia</v>
      </c>
      <c r="C18" s="5" t="str">
        <f aca="false">Plan!I18</f>
        <v>iSoft</v>
      </c>
      <c r="D18" s="5" t="str">
        <f aca="false">Plan!J18</f>
        <v>WhatsApp masivo</v>
      </c>
      <c r="E18" s="5" t="str">
        <f aca="false">Plan!K18</f>
        <v>Whatsapp Isoft</v>
      </c>
      <c r="F18" s="18" t="str">
        <f aca="false">IFERROR(VLOOKUP(C18,Catálogos!$E$4:$G$12,3,FALSE()),"Revisar medio")</f>
        <v>GTQ</v>
      </c>
      <c r="G18" s="24" t="n">
        <v>2867.69</v>
      </c>
      <c r="H18" s="13" t="n">
        <v>4039</v>
      </c>
      <c r="I18" s="10" t="n">
        <f aca="false">Plan!M18</f>
        <v>2800</v>
      </c>
      <c r="J18" s="10" t="n">
        <f aca="false">IF(F18="USD",G18*Insights!$B$7,G18)</f>
        <v>2867.69</v>
      </c>
      <c r="K18" s="19" t="n">
        <f aca="false">J18/Insights!$B$7</f>
        <v>365.310828025478</v>
      </c>
      <c r="L18" s="21" t="n">
        <f aca="false">Plan!Q18</f>
        <v>3943.66197183099</v>
      </c>
      <c r="M18" s="25" t="n">
        <f aca="false">Plan!O18</f>
        <v>0.71</v>
      </c>
      <c r="N18" s="25" t="n">
        <f aca="false">IF(OR(H18=0,Plan!L18="Sin costo"),"",J18/H18*IF(Plan!L18="Por mil",1000,1))</f>
        <v>0.71</v>
      </c>
      <c r="O18" s="14" t="n">
        <f aca="false">IF(L18=0,"",H18/L18)</f>
        <v>1.024175</v>
      </c>
      <c r="P18" s="10" t="n">
        <f aca="false">I18-J18</f>
        <v>-67.6900000000001</v>
      </c>
      <c r="Q18" s="19" t="n">
        <f aca="false">P18/Insights!$B$7</f>
        <v>-8.62292993630574</v>
      </c>
      <c r="R18" s="14" t="n">
        <f aca="false">IF(OR(M18=0,N18=""),"",N18/M18)</f>
        <v>1</v>
      </c>
      <c r="S18" s="22" t="n">
        <f aca="false">MAX(0,MIN(Insights!$B$8,Plan!G18)-Plan!F18+1)</f>
        <v>5</v>
      </c>
      <c r="T18" s="10" t="n">
        <f aca="false">I18/Plan!R18</f>
        <v>560</v>
      </c>
      <c r="U18" s="10" t="n">
        <f aca="false">IF(S18=0,"",J18/S18)</f>
        <v>573.538</v>
      </c>
      <c r="V18" s="21" t="n">
        <f aca="false">L18/Plan!R18</f>
        <v>788.732394366197</v>
      </c>
      <c r="W18" s="21" t="n">
        <f aca="false">IF(S18=0,"",H18/S18)</f>
        <v>807.8</v>
      </c>
      <c r="X18" s="18" t="str">
        <f aca="false">IF(S18=0,"Sin iniciar",IF(J18&gt;I18*1.05,"Gastó de más",IF(AND(O18&lt;&gt;"",O18&lt;0.8),"Bajo proyección",IF(AND(R18&lt;&gt;"",R18&gt;1.2),"Costo alto","En línea"))))</f>
        <v>En línea</v>
      </c>
    </row>
    <row r="19" customFormat="false" ht="15" hidden="false" customHeight="false" outlineLevel="0" collapsed="false">
      <c r="A19" s="5" t="str">
        <f aca="false">Plan!A19</f>
        <v>ELE2609-015</v>
      </c>
      <c r="B19" s="5" t="str">
        <f aca="false">Plan!E19</f>
        <v>Electro Independencia</v>
      </c>
      <c r="C19" s="5" t="str">
        <f aca="false">Plan!I19</f>
        <v>Claro</v>
      </c>
      <c r="D19" s="5" t="str">
        <f aca="false">Plan!J19</f>
        <v>SMS</v>
      </c>
      <c r="E19" s="5" t="str">
        <f aca="false">Plan!K19</f>
        <v>Claro SMS</v>
      </c>
      <c r="F19" s="18" t="str">
        <f aca="false">IFERROR(VLOOKUP(C19,Catálogos!$E$4:$G$12,3,FALSE()),"Revisar medio")</f>
        <v>GTQ</v>
      </c>
      <c r="G19" s="24" t="n">
        <v>1600</v>
      </c>
      <c r="H19" s="13" t="n">
        <v>3175</v>
      </c>
      <c r="I19" s="10" t="n">
        <f aca="false">Plan!M19</f>
        <v>1600</v>
      </c>
      <c r="J19" s="10" t="n">
        <f aca="false">IF(F19="USD",G19*Insights!$B$7,G19)</f>
        <v>1600</v>
      </c>
      <c r="K19" s="19" t="n">
        <f aca="false">J19/Insights!$B$7</f>
        <v>203.821656050955</v>
      </c>
      <c r="L19" s="21" t="n">
        <f aca="false">Plan!Q19</f>
        <v>5000</v>
      </c>
      <c r="M19" s="25" t="n">
        <f aca="false">Plan!O19</f>
        <v>0.32</v>
      </c>
      <c r="N19" s="25" t="n">
        <f aca="false">IF(OR(H19=0,Plan!L19="Sin costo"),"",J19/H19*IF(Plan!L19="Por mil",1000,1))</f>
        <v>0.503937007874016</v>
      </c>
      <c r="O19" s="14" t="n">
        <f aca="false">IF(L19=0,"",H19/L19)</f>
        <v>0.635</v>
      </c>
      <c r="P19" s="10" t="n">
        <f aca="false">I19-J19</f>
        <v>0</v>
      </c>
      <c r="Q19" s="19" t="n">
        <f aca="false">P19/Insights!$B$7</f>
        <v>0</v>
      </c>
      <c r="R19" s="14" t="n">
        <f aca="false">IF(OR(M19=0,N19=""),"",N19/M19)</f>
        <v>1.5748031496063</v>
      </c>
      <c r="S19" s="22" t="n">
        <f aca="false">MAX(0,MIN(Insights!$B$8,Plan!G19)-Plan!F19+1)</f>
        <v>1</v>
      </c>
      <c r="T19" s="10" t="n">
        <f aca="false">I19/Plan!R19</f>
        <v>1600</v>
      </c>
      <c r="U19" s="10" t="n">
        <f aca="false">IF(S19=0,"",J19/S19)</f>
        <v>1600</v>
      </c>
      <c r="V19" s="21" t="n">
        <f aca="false">L19/Plan!R19</f>
        <v>5000</v>
      </c>
      <c r="W19" s="21" t="n">
        <f aca="false">IF(S19=0,"",H19/S19)</f>
        <v>3175</v>
      </c>
      <c r="X19" s="18" t="str">
        <f aca="false">IF(S19=0,"Sin iniciar",IF(J19&gt;I19*1.05,"Gastó de más",IF(AND(O19&lt;&gt;"",O19&lt;0.8),"Bajo proyección",IF(AND(R19&lt;&gt;"",R19&gt;1.2),"Costo alto","En línea"))))</f>
        <v>Bajo proyección</v>
      </c>
    </row>
    <row r="20" customFormat="false" ht="15" hidden="false" customHeight="false" outlineLevel="0" collapsed="false">
      <c r="A20" s="5" t="str">
        <f aca="false">Plan!A20</f>
        <v>ELE2609-016</v>
      </c>
      <c r="B20" s="5" t="str">
        <f aca="false">Plan!E20</f>
        <v>Electro Independencia</v>
      </c>
      <c r="C20" s="5" t="str">
        <f aca="false">Plan!I20</f>
        <v>Mailjet</v>
      </c>
      <c r="D20" s="5" t="str">
        <f aca="false">Plan!J20</f>
        <v>Mailing</v>
      </c>
      <c r="E20" s="5" t="str">
        <f aca="false">Plan!K20</f>
        <v>Sin costo</v>
      </c>
      <c r="F20" s="18" t="str">
        <f aca="false">IFERROR(VLOOKUP(C20,Catálogos!$E$4:$G$12,3,FALSE()),"Revisar medio")</f>
        <v>GTQ</v>
      </c>
      <c r="G20" s="24" t="n">
        <v>0</v>
      </c>
      <c r="H20" s="13" t="n">
        <v>5980</v>
      </c>
      <c r="I20" s="10" t="n">
        <f aca="false">Plan!M20</f>
        <v>0</v>
      </c>
      <c r="J20" s="10" t="n">
        <f aca="false">IF(F20="USD",G20*Insights!$B$7,G20)</f>
        <v>0</v>
      </c>
      <c r="K20" s="19" t="n">
        <f aca="false">J20/Insights!$B$7</f>
        <v>0</v>
      </c>
      <c r="L20" s="21" t="n">
        <f aca="false">Plan!Q20</f>
        <v>4500</v>
      </c>
      <c r="M20" s="25" t="n">
        <f aca="false">Plan!O20</f>
        <v>0</v>
      </c>
      <c r="N20" s="25" t="str">
        <f aca="false">IF(OR(H20=0,Plan!L20="Sin costo"),"",J20/H20*IF(Plan!L20="Por mil",1000,1))</f>
        <v/>
      </c>
      <c r="O20" s="14" t="n">
        <f aca="false">IF(L20=0,"",H20/L20)</f>
        <v>1.32888888888889</v>
      </c>
      <c r="P20" s="10" t="n">
        <f aca="false">I20-J20</f>
        <v>0</v>
      </c>
      <c r="Q20" s="19" t="n">
        <f aca="false">P20/Insights!$B$7</f>
        <v>0</v>
      </c>
      <c r="R20" s="14" t="str">
        <f aca="false">IF(OR(M20=0,N20=""),"",N20/M20)</f>
        <v/>
      </c>
      <c r="S20" s="22" t="n">
        <f aca="false">MAX(0,MIN(Insights!$B$8,Plan!G20)-Plan!F20+1)</f>
        <v>5</v>
      </c>
      <c r="T20" s="10" t="n">
        <f aca="false">I20/Plan!R20</f>
        <v>0</v>
      </c>
      <c r="U20" s="10" t="n">
        <f aca="false">IF(S20=0,"",J20/S20)</f>
        <v>0</v>
      </c>
      <c r="V20" s="21" t="n">
        <f aca="false">L20/Plan!R20</f>
        <v>900</v>
      </c>
      <c r="W20" s="21" t="n">
        <f aca="false">IF(S20=0,"",H20/S20)</f>
        <v>1196</v>
      </c>
      <c r="X20" s="18" t="str">
        <f aca="false">IF(S20=0,"Sin iniciar",IF(J20&gt;I20*1.05,"Gastó de más",IF(AND(O20&lt;&gt;"",O20&lt;0.8),"Bajo proyección",IF(AND(R20&lt;&gt;"",R20&gt;1.2),"Costo alto","En línea"))))</f>
        <v>En línea</v>
      </c>
    </row>
    <row r="21" customFormat="false" ht="15" hidden="false" customHeight="false" outlineLevel="0" collapsed="false">
      <c r="A21" s="5" t="str">
        <f aca="false">Plan!A21</f>
        <v>ELE2609-017</v>
      </c>
      <c r="B21" s="5" t="str">
        <f aca="false">Plan!E21</f>
        <v>Electro Days</v>
      </c>
      <c r="C21" s="5" t="str">
        <f aca="false">Plan!I21</f>
        <v>Google Ads</v>
      </c>
      <c r="D21" s="5" t="str">
        <f aca="false">Plan!J21</f>
        <v>Demand Gen · Tráfico</v>
      </c>
      <c r="E21" s="5" t="str">
        <f aca="false">Plan!K21</f>
        <v>Google</v>
      </c>
      <c r="F21" s="18" t="str">
        <f aca="false">IFERROR(VLOOKUP(C21,Catálogos!$E$4:$G$12,3,FALSE()),"Revisar medio")</f>
        <v>USD</v>
      </c>
      <c r="G21" s="24" t="n">
        <v>380.62</v>
      </c>
      <c r="H21" s="13" t="n">
        <v>16692</v>
      </c>
      <c r="I21" s="10" t="n">
        <f aca="false">Plan!M21</f>
        <v>3000</v>
      </c>
      <c r="J21" s="10" t="n">
        <f aca="false">IF(F21="USD",G21*Insights!$B$7,G21)</f>
        <v>2987.867</v>
      </c>
      <c r="K21" s="19" t="n">
        <f aca="false">J21/Insights!$B$7</f>
        <v>380.62</v>
      </c>
      <c r="L21" s="21" t="n">
        <f aca="false">Plan!Q21</f>
        <v>85714.2857142857</v>
      </c>
      <c r="M21" s="25" t="n">
        <f aca="false">Plan!O21</f>
        <v>0.035</v>
      </c>
      <c r="N21" s="25" t="n">
        <f aca="false">IF(OR(H21=0,Plan!L21="Sin costo"),"",J21/H21*IF(Plan!L21="Por mil",1000,1))</f>
        <v>0.178999940091062</v>
      </c>
      <c r="O21" s="14" t="n">
        <f aca="false">IF(L21=0,"",H21/L21)</f>
        <v>0.19474</v>
      </c>
      <c r="P21" s="10" t="n">
        <f aca="false">I21-J21</f>
        <v>12.1330000000003</v>
      </c>
      <c r="Q21" s="19" t="n">
        <f aca="false">P21/Insights!$B$7</f>
        <v>1.54560509554144</v>
      </c>
      <c r="R21" s="14" t="n">
        <f aca="false">IF(OR(M21=0,N21=""),"",N21/M21)</f>
        <v>5.11428400260176</v>
      </c>
      <c r="S21" s="22" t="n">
        <f aca="false">MAX(0,MIN(Insights!$B$8,Plan!G21)-Plan!F21+1)</f>
        <v>7</v>
      </c>
      <c r="T21" s="10" t="n">
        <f aca="false">I21/Plan!R21</f>
        <v>428.571428571429</v>
      </c>
      <c r="U21" s="10" t="n">
        <f aca="false">IF(S21=0,"",J21/S21)</f>
        <v>426.838142857143</v>
      </c>
      <c r="V21" s="21" t="n">
        <f aca="false">L21/Plan!R21</f>
        <v>12244.8979591837</v>
      </c>
      <c r="W21" s="21" t="n">
        <f aca="false">IF(S21=0,"",H21/S21)</f>
        <v>2384.57142857143</v>
      </c>
      <c r="X21" s="18" t="str">
        <f aca="false">IF(S21=0,"Sin iniciar",IF(J21&gt;I21*1.05,"Gastó de más",IF(AND(O21&lt;&gt;"",O21&lt;0.8),"Bajo proyección",IF(AND(R21&lt;&gt;"",R21&gt;1.2),"Costo alto","En línea"))))</f>
        <v>Bajo proyección</v>
      </c>
    </row>
    <row r="22" customFormat="false" ht="15" hidden="false" customHeight="false" outlineLevel="0" collapsed="false">
      <c r="A22" s="5" t="str">
        <f aca="false">Plan!A22</f>
        <v>ELE2609-018</v>
      </c>
      <c r="B22" s="5" t="str">
        <f aca="false">Plan!E22</f>
        <v>Electro Days</v>
      </c>
      <c r="C22" s="5" t="str">
        <f aca="false">Plan!I22</f>
        <v>Meta</v>
      </c>
      <c r="D22" s="5" t="str">
        <f aca="false">Plan!J22</f>
        <v>Tráfico</v>
      </c>
      <c r="E22" s="5" t="str">
        <f aca="false">Plan!K22</f>
        <v>Meta FB e IG</v>
      </c>
      <c r="F22" s="18" t="str">
        <f aca="false">IFERROR(VLOOKUP(C22,Catálogos!$E$4:$G$12,3,FALSE()),"Revisar medio")</f>
        <v>USD</v>
      </c>
      <c r="G22" s="24" t="n">
        <v>318.46</v>
      </c>
      <c r="H22" s="13" t="n">
        <v>14830</v>
      </c>
      <c r="I22" s="10" t="n">
        <f aca="false">Plan!M22</f>
        <v>2500</v>
      </c>
      <c r="J22" s="10" t="n">
        <f aca="false">IF(F22="USD",G22*Insights!$B$7,G22)</f>
        <v>2499.911</v>
      </c>
      <c r="K22" s="19" t="n">
        <f aca="false">J22/Insights!$B$7</f>
        <v>318.46</v>
      </c>
      <c r="L22" s="21" t="n">
        <f aca="false">Plan!Q22</f>
        <v>12500</v>
      </c>
      <c r="M22" s="25" t="n">
        <f aca="false">Plan!O22</f>
        <v>0.2</v>
      </c>
      <c r="N22" s="25" t="n">
        <f aca="false">IF(OR(H22=0,Plan!L22="Sin costo"),"",J22/H22*IF(Plan!L22="Por mil",1000,1))</f>
        <v>0.168571207012812</v>
      </c>
      <c r="O22" s="14" t="n">
        <f aca="false">IF(L22=0,"",H22/L22)</f>
        <v>1.1864</v>
      </c>
      <c r="P22" s="10" t="n">
        <f aca="false">I22-J22</f>
        <v>0.0890000000003965</v>
      </c>
      <c r="Q22" s="19" t="n">
        <f aca="false">P22/Insights!$B$7</f>
        <v>0.0113375796178849</v>
      </c>
      <c r="R22" s="14" t="n">
        <f aca="false">IF(OR(M22=0,N22=""),"",N22/M22)</f>
        <v>0.842856035064059</v>
      </c>
      <c r="S22" s="22" t="n">
        <f aca="false">MAX(0,MIN(Insights!$B$8,Plan!G22)-Plan!F22+1)</f>
        <v>7</v>
      </c>
      <c r="T22" s="10" t="n">
        <f aca="false">I22/Plan!R22</f>
        <v>357.142857142857</v>
      </c>
      <c r="U22" s="10" t="n">
        <f aca="false">IF(S22=0,"",J22/S22)</f>
        <v>357.130142857143</v>
      </c>
      <c r="V22" s="21" t="n">
        <f aca="false">L22/Plan!R22</f>
        <v>1785.71428571429</v>
      </c>
      <c r="W22" s="21" t="n">
        <f aca="false">IF(S22=0,"",H22/S22)</f>
        <v>2118.57142857143</v>
      </c>
      <c r="X22" s="18" t="str">
        <f aca="false">IF(S22=0,"Sin iniciar",IF(J22&gt;I22*1.05,"Gastó de más",IF(AND(O22&lt;&gt;"",O22&lt;0.8),"Bajo proyección",IF(AND(R22&lt;&gt;"",R22&gt;1.2),"Costo alto","En línea"))))</f>
        <v>En línea</v>
      </c>
    </row>
    <row r="23" customFormat="false" ht="15" hidden="false" customHeight="false" outlineLevel="0" collapsed="false">
      <c r="A23" s="5" t="str">
        <f aca="false">Plan!A23</f>
        <v>ELE2609-019</v>
      </c>
      <c r="B23" s="5" t="str">
        <f aca="false">Plan!E23</f>
        <v>Electro Days</v>
      </c>
      <c r="C23" s="5" t="str">
        <f aca="false">Plan!I23</f>
        <v>Meta</v>
      </c>
      <c r="D23" s="5" t="str">
        <f aca="false">Plan!J23</f>
        <v>Ventas</v>
      </c>
      <c r="E23" s="5" t="str">
        <f aca="false">Plan!K23</f>
        <v>Meta FB e IG</v>
      </c>
      <c r="F23" s="18" t="str">
        <f aca="false">IFERROR(VLOOKUP(C23,Catálogos!$E$4:$G$12,3,FALSE()),"Revisar medio")</f>
        <v>USD</v>
      </c>
      <c r="G23" s="24" t="n">
        <v>318.45</v>
      </c>
      <c r="H23" s="13" t="n">
        <v>14</v>
      </c>
      <c r="I23" s="10" t="n">
        <f aca="false">Plan!M23</f>
        <v>2500</v>
      </c>
      <c r="J23" s="10" t="n">
        <f aca="false">IF(F23="USD",G23*Insights!$B$7,G23)</f>
        <v>2499.8325</v>
      </c>
      <c r="K23" s="19" t="n">
        <f aca="false">J23/Insights!$B$7</f>
        <v>318.45</v>
      </c>
      <c r="L23" s="21" t="n">
        <f aca="false">Plan!Q23</f>
        <v>16.999864001088</v>
      </c>
      <c r="M23" s="25" t="n">
        <f aca="false">Plan!O23</f>
        <v>147.06</v>
      </c>
      <c r="N23" s="25" t="n">
        <f aca="false">IF(OR(H23=0,Plan!L23="Sin costo"),"",J23/H23*IF(Plan!L23="Por mil",1000,1))</f>
        <v>178.559464285714</v>
      </c>
      <c r="O23" s="14" t="n">
        <f aca="false">IF(L23=0,"",H23/L23)</f>
        <v>0.823536</v>
      </c>
      <c r="P23" s="10" t="n">
        <f aca="false">I23-J23</f>
        <v>0.167500000000018</v>
      </c>
      <c r="Q23" s="19" t="n">
        <f aca="false">P23/Insights!$B$7</f>
        <v>0.0213375796178367</v>
      </c>
      <c r="R23" s="14" t="n">
        <f aca="false">IF(OR(M23=0,N23=""),"",N23/M23)</f>
        <v>1.21419464358571</v>
      </c>
      <c r="S23" s="22" t="n">
        <f aca="false">MAX(0,MIN(Insights!$B$8,Plan!G23)-Plan!F23+1)</f>
        <v>7</v>
      </c>
      <c r="T23" s="10" t="n">
        <f aca="false">I23/Plan!R23</f>
        <v>357.142857142857</v>
      </c>
      <c r="U23" s="10" t="n">
        <f aca="false">IF(S23=0,"",J23/S23)</f>
        <v>357.118928571429</v>
      </c>
      <c r="V23" s="21" t="n">
        <f aca="false">L23/Plan!R23</f>
        <v>2.42855200015543</v>
      </c>
      <c r="W23" s="21" t="n">
        <f aca="false">IF(S23=0,"",H23/S23)</f>
        <v>2</v>
      </c>
      <c r="X23" s="18" t="str">
        <f aca="false">IF(S23=0,"Sin iniciar",IF(J23&gt;I23*1.05,"Gastó de más",IF(AND(O23&lt;&gt;"",O23&lt;0.8),"Bajo proyección",IF(AND(R23&lt;&gt;"",R23&gt;1.2),"Costo alto","En línea"))))</f>
        <v>Costo alto</v>
      </c>
    </row>
    <row r="24" customFormat="false" ht="15" hidden="false" customHeight="false" outlineLevel="0" collapsed="false">
      <c r="A24" s="5" t="str">
        <f aca="false">Plan!A24</f>
        <v>ELE2609-020</v>
      </c>
      <c r="B24" s="5" t="str">
        <f aca="false">Plan!E24</f>
        <v>Electro Days</v>
      </c>
      <c r="C24" s="5" t="str">
        <f aca="false">Plan!I24</f>
        <v>iSoft</v>
      </c>
      <c r="D24" s="5" t="str">
        <f aca="false">Plan!J24</f>
        <v>WhatsApp masivo</v>
      </c>
      <c r="E24" s="5" t="str">
        <f aca="false">Plan!K24</f>
        <v>Whatsapp Isoft</v>
      </c>
      <c r="F24" s="18" t="str">
        <f aca="false">IFERROR(VLOOKUP(C24,Catálogos!$E$4:$G$12,3,FALSE()),"Revisar medio")</f>
        <v>GTQ</v>
      </c>
      <c r="G24" s="24" t="n">
        <v>556.64</v>
      </c>
      <c r="H24" s="13" t="n">
        <v>784</v>
      </c>
      <c r="I24" s="10" t="n">
        <f aca="false">Plan!M24</f>
        <v>1065</v>
      </c>
      <c r="J24" s="10" t="n">
        <f aca="false">IF(F24="USD",G24*Insights!$B$7,G24)</f>
        <v>556.64</v>
      </c>
      <c r="K24" s="19" t="n">
        <f aca="false">J24/Insights!$B$7</f>
        <v>70.9095541401274</v>
      </c>
      <c r="L24" s="21" t="n">
        <f aca="false">Plan!Q24</f>
        <v>1500</v>
      </c>
      <c r="M24" s="25" t="n">
        <f aca="false">Plan!O24</f>
        <v>0.71</v>
      </c>
      <c r="N24" s="25" t="n">
        <f aca="false">IF(OR(H24=0,Plan!L24="Sin costo"),"",J24/H24*IF(Plan!L24="Por mil",1000,1))</f>
        <v>0.71</v>
      </c>
      <c r="O24" s="14" t="n">
        <f aca="false">IF(L24=0,"",H24/L24)</f>
        <v>0.522666666666667</v>
      </c>
      <c r="P24" s="10" t="n">
        <f aca="false">I24-J24</f>
        <v>508.36</v>
      </c>
      <c r="Q24" s="19" t="n">
        <f aca="false">P24/Insights!$B$7</f>
        <v>64.7592356687898</v>
      </c>
      <c r="R24" s="14" t="n">
        <f aca="false">IF(OR(M24=0,N24=""),"",N24/M24)</f>
        <v>1</v>
      </c>
      <c r="S24" s="22" t="n">
        <f aca="false">MAX(0,MIN(Insights!$B$8,Plan!G24)-Plan!F24+1)</f>
        <v>7</v>
      </c>
      <c r="T24" s="10" t="n">
        <f aca="false">I24/Plan!R24</f>
        <v>152.142857142857</v>
      </c>
      <c r="U24" s="10" t="n">
        <f aca="false">IF(S24=0,"",J24/S24)</f>
        <v>79.52</v>
      </c>
      <c r="V24" s="21" t="n">
        <f aca="false">L24/Plan!R24</f>
        <v>214.285714285714</v>
      </c>
      <c r="W24" s="21" t="n">
        <f aca="false">IF(S24=0,"",H24/S24)</f>
        <v>112</v>
      </c>
      <c r="X24" s="18" t="str">
        <f aca="false">IF(S24=0,"Sin iniciar",IF(J24&gt;I24*1.05,"Gastó de más",IF(AND(O24&lt;&gt;"",O24&lt;0.8),"Bajo proyección",IF(AND(R24&lt;&gt;"",R24&gt;1.2),"Costo alto","En línea"))))</f>
        <v>Bajo proyección</v>
      </c>
    </row>
    <row r="25" customFormat="false" ht="15" hidden="false" customHeight="false" outlineLevel="0" collapsed="false">
      <c r="A25" s="5" t="str">
        <f aca="false">Plan!A25</f>
        <v>ELE2609-021</v>
      </c>
      <c r="B25" s="5" t="str">
        <f aca="false">Plan!E25</f>
        <v>Electro Days</v>
      </c>
      <c r="C25" s="5" t="str">
        <f aca="false">Plan!I25</f>
        <v>Mailjet</v>
      </c>
      <c r="D25" s="5" t="str">
        <f aca="false">Plan!J25</f>
        <v>Mailing</v>
      </c>
      <c r="E25" s="5" t="str">
        <f aca="false">Plan!K25</f>
        <v>Sin costo</v>
      </c>
      <c r="F25" s="18" t="str">
        <f aca="false">IFERROR(VLOOKUP(C25,Catálogos!$E$4:$G$12,3,FALSE()),"Revisar medio")</f>
        <v>GTQ</v>
      </c>
      <c r="G25" s="24" t="n">
        <v>0</v>
      </c>
      <c r="H25" s="13" t="n">
        <v>5978</v>
      </c>
      <c r="I25" s="10" t="n">
        <f aca="false">Plan!M25</f>
        <v>0</v>
      </c>
      <c r="J25" s="10" t="n">
        <f aca="false">IF(F25="USD",G25*Insights!$B$7,G25)</f>
        <v>0</v>
      </c>
      <c r="K25" s="19" t="n">
        <f aca="false">J25/Insights!$B$7</f>
        <v>0</v>
      </c>
      <c r="L25" s="21" t="n">
        <f aca="false">Plan!Q25</f>
        <v>4500</v>
      </c>
      <c r="M25" s="25" t="n">
        <f aca="false">Plan!O25</f>
        <v>0</v>
      </c>
      <c r="N25" s="25" t="str">
        <f aca="false">IF(OR(H25=0,Plan!L25="Sin costo"),"",J25/H25*IF(Plan!L25="Por mil",1000,1))</f>
        <v/>
      </c>
      <c r="O25" s="14" t="n">
        <f aca="false">IF(L25=0,"",H25/L25)</f>
        <v>1.32844444444444</v>
      </c>
      <c r="P25" s="10" t="n">
        <f aca="false">I25-J25</f>
        <v>0</v>
      </c>
      <c r="Q25" s="19" t="n">
        <f aca="false">P25/Insights!$B$7</f>
        <v>0</v>
      </c>
      <c r="R25" s="14" t="str">
        <f aca="false">IF(OR(M25=0,N25=""),"",N25/M25)</f>
        <v/>
      </c>
      <c r="S25" s="22" t="n">
        <f aca="false">MAX(0,MIN(Insights!$B$8,Plan!G25)-Plan!F25+1)</f>
        <v>5</v>
      </c>
      <c r="T25" s="10" t="n">
        <f aca="false">I25/Plan!R25</f>
        <v>0</v>
      </c>
      <c r="U25" s="10" t="n">
        <f aca="false">IF(S25=0,"",J25/S25)</f>
        <v>0</v>
      </c>
      <c r="V25" s="21" t="n">
        <f aca="false">L25/Plan!R25</f>
        <v>900</v>
      </c>
      <c r="W25" s="21" t="n">
        <f aca="false">IF(S25=0,"",H25/S25)</f>
        <v>1195.6</v>
      </c>
      <c r="X25" s="18" t="str">
        <f aca="false">IF(S25=0,"Sin iniciar",IF(J25&gt;I25*1.05,"Gastó de más",IF(AND(O25&lt;&gt;"",O25&lt;0.8),"Bajo proyección",IF(AND(R25&lt;&gt;"",R25&gt;1.2),"Costo alto","En línea"))))</f>
        <v>En línea</v>
      </c>
    </row>
    <row r="26" customFormat="false" ht="15" hidden="false" customHeight="false" outlineLevel="0" collapsed="false">
      <c r="A26" s="5" t="str">
        <f aca="false">Plan!A26</f>
        <v>ELE2609-022</v>
      </c>
      <c r="B26" s="5" t="str">
        <f aca="false">Plan!E26</f>
        <v>Talento Humano</v>
      </c>
      <c r="C26" s="5" t="str">
        <f aca="false">Plan!I26</f>
        <v>Meta</v>
      </c>
      <c r="D26" s="5" t="str">
        <f aca="false">Plan!J26</f>
        <v>Tráfico</v>
      </c>
      <c r="E26" s="5" t="str">
        <f aca="false">Plan!K26</f>
        <v>Extras</v>
      </c>
      <c r="F26" s="18" t="str">
        <f aca="false">IFERROR(VLOOKUP(C26,Catálogos!$E$4:$G$12,3,FALSE()),"Revisar medio")</f>
        <v>USD</v>
      </c>
      <c r="G26" s="24" t="n">
        <v>49.89</v>
      </c>
      <c r="H26" s="13" t="n">
        <v>2517</v>
      </c>
      <c r="I26" s="10" t="n">
        <f aca="false">Plan!M26</f>
        <v>392.5</v>
      </c>
      <c r="J26" s="10" t="n">
        <f aca="false">IF(F26="USD",G26*Insights!$B$7,G26)</f>
        <v>391.6365</v>
      </c>
      <c r="K26" s="19" t="n">
        <f aca="false">J26/Insights!$B$7</f>
        <v>49.89</v>
      </c>
      <c r="L26" s="21" t="n">
        <f aca="false">Plan!Q26</f>
        <v>1666.66666666667</v>
      </c>
      <c r="M26" s="25" t="n">
        <f aca="false">Plan!O26</f>
        <v>0.2355</v>
      </c>
      <c r="N26" s="25" t="n">
        <f aca="false">IF(OR(H26=0,Plan!L26="Sin costo"),"",J26/H26*IF(Plan!L26="Por mil",1000,1))</f>
        <v>0.155596543504172</v>
      </c>
      <c r="O26" s="14" t="n">
        <f aca="false">IF(L26=0,"",H26/L26)</f>
        <v>1.5102</v>
      </c>
      <c r="P26" s="10" t="n">
        <f aca="false">I26-J26</f>
        <v>0.863499999999988</v>
      </c>
      <c r="Q26" s="19" t="n">
        <f aca="false">P26/Insights!$B$7</f>
        <v>0.109999999999998</v>
      </c>
      <c r="R26" s="14" t="n">
        <f aca="false">IF(OR(M26=0,N26=""),"",N26/M26)</f>
        <v>0.660707191100517</v>
      </c>
      <c r="S26" s="22" t="n">
        <f aca="false">MAX(0,MIN(Insights!$B$8,Plan!G26)-Plan!F26+1)</f>
        <v>5</v>
      </c>
      <c r="T26" s="10" t="n">
        <f aca="false">I26/Plan!R26</f>
        <v>78.5</v>
      </c>
      <c r="U26" s="10" t="n">
        <f aca="false">IF(S26=0,"",J26/S26)</f>
        <v>78.3273</v>
      </c>
      <c r="V26" s="21" t="n">
        <f aca="false">L26/Plan!R26</f>
        <v>333.333333333333</v>
      </c>
      <c r="W26" s="21" t="n">
        <f aca="false">IF(S26=0,"",H26/S26)</f>
        <v>503.4</v>
      </c>
      <c r="X26" s="18" t="str">
        <f aca="false">IF(S26=0,"Sin iniciar",IF(J26&gt;I26*1.05,"Gastó de más",IF(AND(O26&lt;&gt;"",O26&lt;0.8),"Bajo proyección",IF(AND(R26&lt;&gt;"",R26&gt;1.2),"Costo alto","En línea"))))</f>
        <v>En línea</v>
      </c>
    </row>
    <row r="27" customFormat="false" ht="15" hidden="false" customHeight="false" outlineLevel="0" collapsed="false">
      <c r="A27" s="5" t="str">
        <f aca="false">Plan!A27</f>
        <v>ELE2608-023</v>
      </c>
      <c r="B27" s="5" t="str">
        <f aca="false">Plan!E27</f>
        <v>Leads B2B</v>
      </c>
      <c r="C27" s="5" t="str">
        <f aca="false">Plan!I27</f>
        <v>Meta</v>
      </c>
      <c r="D27" s="5" t="str">
        <f aca="false">Plan!J27</f>
        <v>Lead Forms</v>
      </c>
      <c r="E27" s="5" t="str">
        <f aca="false">Plan!K27</f>
        <v>Leads B2B</v>
      </c>
      <c r="F27" s="18" t="str">
        <f aca="false">IFERROR(VLOOKUP(C27,Catálogos!$E$4:$G$12,3,FALSE()),"Revisar medio")</f>
        <v>USD</v>
      </c>
      <c r="G27" s="24" t="n">
        <v>254.48</v>
      </c>
      <c r="H27" s="13" t="n">
        <v>39</v>
      </c>
      <c r="I27" s="10" t="n">
        <f aca="false">Plan!M27</f>
        <v>2000.023</v>
      </c>
      <c r="J27" s="10" t="n">
        <f aca="false">IF(F27="USD",G27*Insights!$B$7,G27)</f>
        <v>1997.668</v>
      </c>
      <c r="K27" s="19" t="n">
        <f aca="false">J27/Insights!$B$7</f>
        <v>254.48</v>
      </c>
      <c r="L27" s="21" t="n">
        <f aca="false">Plan!Q27</f>
        <v>80.00092</v>
      </c>
      <c r="M27" s="25" t="n">
        <f aca="false">Plan!O27</f>
        <v>25</v>
      </c>
      <c r="N27" s="25" t="n">
        <f aca="false">IF(OR(H27=0,Plan!L27="Sin costo"),"",J27/H27*IF(Plan!L27="Por mil",1000,1))</f>
        <v>51.2222564102564</v>
      </c>
      <c r="O27" s="14" t="n">
        <f aca="false">IF(L27=0,"",H27/L27)</f>
        <v>0.487494393814471</v>
      </c>
      <c r="P27" s="10" t="n">
        <f aca="false">I27-J27</f>
        <v>2.35500000000002</v>
      </c>
      <c r="Q27" s="19" t="n">
        <f aca="false">P27/Insights!$B$7</f>
        <v>0.300000000000002</v>
      </c>
      <c r="R27" s="14" t="n">
        <f aca="false">IF(OR(M27=0,N27=""),"",N27/M27)</f>
        <v>2.04889025641026</v>
      </c>
      <c r="S27" s="22" t="n">
        <f aca="false">MAX(0,MIN(Insights!$B$8,Plan!G27)-Plan!F27+1)</f>
        <v>29</v>
      </c>
      <c r="T27" s="10" t="n">
        <f aca="false">I27/Plan!R27</f>
        <v>68.9663103448276</v>
      </c>
      <c r="U27" s="10" t="n">
        <f aca="false">IF(S27=0,"",J27/S27)</f>
        <v>68.8851034482759</v>
      </c>
      <c r="V27" s="21" t="n">
        <f aca="false">L27/Plan!R27</f>
        <v>2.7586524137931</v>
      </c>
      <c r="W27" s="21" t="n">
        <f aca="false">IF(S27=0,"",H27/S27)</f>
        <v>1.3448275862069</v>
      </c>
      <c r="X27" s="18" t="str">
        <f aca="false">IF(S27=0,"Sin iniciar",IF(J27&gt;I27*1.05,"Gastó de más",IF(AND(O27&lt;&gt;"",O27&lt;0.8),"Bajo proyección",IF(AND(R27&lt;&gt;"",R27&gt;1.2),"Costo alto","En línea"))))</f>
        <v>Bajo proyección</v>
      </c>
    </row>
    <row r="28" customFormat="false" ht="23.85" hidden="false" customHeight="false" outlineLevel="0" collapsed="false">
      <c r="A28" s="5" t="str">
        <f aca="false">Plan!A28</f>
        <v>ELE2609-024</v>
      </c>
      <c r="B28" s="5" t="str">
        <f aca="false">Plan!E28</f>
        <v>Capacitación</v>
      </c>
      <c r="C28" s="5" t="str">
        <f aca="false">Plan!I28</f>
        <v>Meta</v>
      </c>
      <c r="D28" s="5" t="str">
        <f aca="false">Plan!J28</f>
        <v>Tráfico</v>
      </c>
      <c r="E28" s="5" t="str">
        <f aca="false">Plan!K28</f>
        <v>Tráfico a tiendas Geolocalizado</v>
      </c>
      <c r="F28" s="18" t="str">
        <f aca="false">IFERROR(VLOOKUP(C28,Catálogos!$E$4:$G$12,3,FALSE()),"Revisar medio")</f>
        <v>USD</v>
      </c>
      <c r="G28" s="24" t="n">
        <v>127.39</v>
      </c>
      <c r="H28" s="13" t="n">
        <v>2609</v>
      </c>
      <c r="I28" s="10" t="n">
        <f aca="false">Plan!M28</f>
        <v>1000</v>
      </c>
      <c r="J28" s="10" t="n">
        <f aca="false">IF(F28="USD",G28*Insights!$B$7,G28)</f>
        <v>1000.0115</v>
      </c>
      <c r="K28" s="19" t="n">
        <f aca="false">J28/Insights!$B$7</f>
        <v>127.39</v>
      </c>
      <c r="L28" s="21" t="n">
        <f aca="false">Plan!Q28</f>
        <v>2380.95238095238</v>
      </c>
      <c r="M28" s="25" t="n">
        <f aca="false">Plan!O28</f>
        <v>0.42</v>
      </c>
      <c r="N28" s="25" t="n">
        <f aca="false">IF(OR(H28=0,Plan!L28="Sin costo"),"",J28/H28*IF(Plan!L28="Por mil",1000,1))</f>
        <v>0.383293024147183</v>
      </c>
      <c r="O28" s="14" t="n">
        <f aca="false">IF(L28=0,"",H28/L28)</f>
        <v>1.09578</v>
      </c>
      <c r="P28" s="10" t="n">
        <f aca="false">I28-J28</f>
        <v>-0.0114999999999554</v>
      </c>
      <c r="Q28" s="19" t="n">
        <f aca="false">P28/Insights!$B$7</f>
        <v>-0.00146496815286057</v>
      </c>
      <c r="R28" s="14" t="n">
        <f aca="false">IF(OR(M28=0,N28=""),"",N28/M28)</f>
        <v>0.912602438445673</v>
      </c>
      <c r="S28" s="22" t="n">
        <f aca="false">MAX(0,MIN(Insights!$B$8,Plan!G28)-Plan!F28+1)</f>
        <v>7</v>
      </c>
      <c r="T28" s="10" t="n">
        <f aca="false">I28/Plan!R28</f>
        <v>142.857142857143</v>
      </c>
      <c r="U28" s="10" t="n">
        <f aca="false">IF(S28=0,"",J28/S28)</f>
        <v>142.858785714286</v>
      </c>
      <c r="V28" s="21" t="n">
        <f aca="false">L28/Plan!R28</f>
        <v>340.136054421769</v>
      </c>
      <c r="W28" s="21" t="n">
        <f aca="false">IF(S28=0,"",H28/S28)</f>
        <v>372.714285714286</v>
      </c>
      <c r="X28" s="18" t="str">
        <f aca="false">IF(S28=0,"Sin iniciar",IF(J28&gt;I28*1.05,"Gastó de más",IF(AND(O28&lt;&gt;"",O28&lt;0.8),"Bajo proyección",IF(AND(R28&lt;&gt;"",R28&gt;1.2),"Costo alto","En línea"))))</f>
        <v>En línea</v>
      </c>
    </row>
    <row r="29" customFormat="false" ht="15" hidden="false" customHeight="false" outlineLevel="0" collapsed="false">
      <c r="A29" s="5" t="str">
        <f aca="false">Plan!A29</f>
        <v>ELE2609-025</v>
      </c>
      <c r="B29" s="5" t="str">
        <f aca="false">Plan!E29</f>
        <v>Capacitación</v>
      </c>
      <c r="C29" s="5" t="str">
        <f aca="false">Plan!I29</f>
        <v>iSoft</v>
      </c>
      <c r="D29" s="5" t="str">
        <f aca="false">Plan!J29</f>
        <v>WhatsApp masivo</v>
      </c>
      <c r="E29" s="5" t="str">
        <f aca="false">Plan!K29</f>
        <v>LinkedIn</v>
      </c>
      <c r="F29" s="18" t="str">
        <f aca="false">IFERROR(VLOOKUP(C29,Catálogos!$E$4:$G$12,3,FALSE()),"Revisar medio")</f>
        <v>GTQ</v>
      </c>
      <c r="G29" s="24" t="n">
        <v>1037.31</v>
      </c>
      <c r="H29" s="13" t="n">
        <v>1461</v>
      </c>
      <c r="I29" s="10" t="n">
        <f aca="false">Plan!M29</f>
        <v>1065</v>
      </c>
      <c r="J29" s="10" t="n">
        <f aca="false">IF(F29="USD",G29*Insights!$B$7,G29)</f>
        <v>1037.31</v>
      </c>
      <c r="K29" s="19" t="n">
        <f aca="false">J29/Insights!$B$7</f>
        <v>132.141401273885</v>
      </c>
      <c r="L29" s="21" t="n">
        <f aca="false">Plan!Q29</f>
        <v>1500</v>
      </c>
      <c r="M29" s="25" t="n">
        <f aca="false">Plan!O29</f>
        <v>0.71</v>
      </c>
      <c r="N29" s="25" t="n">
        <f aca="false">IF(OR(H29=0,Plan!L29="Sin costo"),"",J29/H29*IF(Plan!L29="Por mil",1000,1))</f>
        <v>0.71</v>
      </c>
      <c r="O29" s="14" t="n">
        <f aca="false">IF(L29=0,"",H29/L29)</f>
        <v>0.974</v>
      </c>
      <c r="P29" s="10" t="n">
        <f aca="false">I29-J29</f>
        <v>27.6900000000001</v>
      </c>
      <c r="Q29" s="19" t="n">
        <f aca="false">P29/Insights!$B$7</f>
        <v>3.52738853503185</v>
      </c>
      <c r="R29" s="14" t="n">
        <f aca="false">IF(OR(M29=0,N29=""),"",N29/M29)</f>
        <v>1</v>
      </c>
      <c r="S29" s="22" t="n">
        <f aca="false">MAX(0,MIN(Insights!$B$8,Plan!G29)-Plan!F29+1)</f>
        <v>1</v>
      </c>
      <c r="T29" s="10" t="n">
        <f aca="false">I29/Plan!R29</f>
        <v>1065</v>
      </c>
      <c r="U29" s="10" t="n">
        <f aca="false">IF(S29=0,"",J29/S29)</f>
        <v>1037.31</v>
      </c>
      <c r="V29" s="21" t="n">
        <f aca="false">L29/Plan!R29</f>
        <v>1500</v>
      </c>
      <c r="W29" s="21" t="n">
        <f aca="false">IF(S29=0,"",H29/S29)</f>
        <v>1461</v>
      </c>
      <c r="X29" s="18" t="str">
        <f aca="false">IF(S29=0,"Sin iniciar",IF(J29&gt;I29*1.05,"Gastó de más",IF(AND(O29&lt;&gt;"",O29&lt;0.8),"Bajo proyección",IF(AND(R29&lt;&gt;"",R29&gt;1.2),"Costo alto","En línea"))))</f>
        <v>En línea</v>
      </c>
    </row>
    <row r="30" customFormat="false" ht="15" hidden="false" customHeight="false" outlineLevel="0" collapsed="false">
      <c r="A30" s="5" t="str">
        <f aca="false">Plan!A30</f>
        <v>ELE2608-002</v>
      </c>
      <c r="B30" s="5" t="str">
        <f aca="false">Plan!E30</f>
        <v>Mantenimiento</v>
      </c>
      <c r="C30" s="5" t="str">
        <f aca="false">Plan!I30</f>
        <v>Meta</v>
      </c>
      <c r="D30" s="5" t="str">
        <f aca="false">Plan!J30</f>
        <v>Interacción</v>
      </c>
      <c r="E30" s="5" t="str">
        <f aca="false">Plan!K30</f>
        <v>Meta FB e IG</v>
      </c>
      <c r="F30" s="18" t="str">
        <f aca="false">IFERROR(VLOOKUP(C30,Catálogos!$E$4:$G$12,3,FALSE()),"Revisar medio")</f>
        <v>USD</v>
      </c>
      <c r="G30" s="24" t="n">
        <v>9.16</v>
      </c>
      <c r="H30" s="13" t="n">
        <v>0</v>
      </c>
      <c r="I30" s="10" t="n">
        <f aca="false">Plan!M30</f>
        <v>0</v>
      </c>
      <c r="J30" s="10" t="n">
        <f aca="false">IF(F30="USD",G30*Insights!$B$7,G30)</f>
        <v>71.906</v>
      </c>
      <c r="K30" s="19" t="n">
        <f aca="false">J30/Insights!$B$7</f>
        <v>9.16</v>
      </c>
      <c r="L30" s="21" t="n">
        <f aca="false">Plan!Q30</f>
        <v>0</v>
      </c>
      <c r="M30" s="25" t="n">
        <f aca="false">Plan!O30</f>
        <v>0.3</v>
      </c>
      <c r="N30" s="25" t="str">
        <f aca="false">IF(OR(H30=0,Plan!L30="Sin costo"),"",J30/H30*IF(Plan!L30="Por mil",1000,1))</f>
        <v/>
      </c>
      <c r="O30" s="14" t="str">
        <f aca="false">IF(L30=0,"",H30/L30)</f>
        <v/>
      </c>
      <c r="P30" s="10" t="n">
        <f aca="false">I30-J30</f>
        <v>-71.906</v>
      </c>
      <c r="Q30" s="19" t="n">
        <f aca="false">P30/Insights!$B$7</f>
        <v>-9.16</v>
      </c>
      <c r="R30" s="14" t="str">
        <f aca="false">IF(OR(M30=0,N30=""),"",N30/M30)</f>
        <v/>
      </c>
      <c r="S30" s="22" t="n">
        <f aca="false">MAX(0,MIN(Insights!$B$8,Plan!G30)-Plan!F30+1)</f>
        <v>30</v>
      </c>
      <c r="T30" s="10" t="n">
        <f aca="false">I30/Plan!R30</f>
        <v>0</v>
      </c>
      <c r="U30" s="10" t="n">
        <f aca="false">IF(S30=0,"",J30/S30)</f>
        <v>2.39686666666667</v>
      </c>
      <c r="V30" s="21" t="n">
        <f aca="false">L30/Plan!R30</f>
        <v>0</v>
      </c>
      <c r="W30" s="21" t="n">
        <f aca="false">IF(S30=0,"",H30/S30)</f>
        <v>0</v>
      </c>
      <c r="X30" s="18" t="str">
        <f aca="false">IF(S30=0,"Sin iniciar",IF(J30&gt;I30*1.05,"Gastó de más",IF(AND(O30&lt;&gt;"",O30&lt;0.8),"Bajo proyección",IF(AND(R30&lt;&gt;"",R30&gt;1.2),"Costo alto","En línea"))))</f>
        <v>Gastó de más</v>
      </c>
    </row>
    <row r="31" customFormat="false" ht="15" hidden="false" customHeight="false" outlineLevel="0" collapsed="false">
      <c r="A31" s="11" t="s">
        <v>121</v>
      </c>
      <c r="B31" s="5"/>
      <c r="C31" s="5"/>
      <c r="D31" s="5"/>
      <c r="E31" s="5"/>
      <c r="F31" s="5"/>
      <c r="G31" s="5"/>
      <c r="H31" s="5"/>
      <c r="I31" s="12" t="n">
        <f aca="false">SUM(I5:I30)</f>
        <v>66148.336</v>
      </c>
      <c r="J31" s="12" t="n">
        <f aca="false">SUM(J5:J30)</f>
        <v>63153.1735</v>
      </c>
      <c r="K31" s="23" t="n">
        <f aca="false">SUM(K5:K30)</f>
        <v>8044.99025477707</v>
      </c>
      <c r="L31" s="5"/>
      <c r="M31" s="5"/>
      <c r="N31" s="5"/>
      <c r="O31" s="5"/>
      <c r="P31" s="12" t="n">
        <f aca="false">SUM(P5:P30)</f>
        <v>2995.1625</v>
      </c>
      <c r="Q31" s="23" t="n">
        <f aca="false">SUM(Q5:Q30)</f>
        <v>381.549363057325</v>
      </c>
      <c r="R31" s="5"/>
      <c r="S31" s="5"/>
      <c r="T31" s="5"/>
      <c r="U31" s="5"/>
      <c r="V31" s="5"/>
      <c r="W31" s="5"/>
      <c r="X31" s="5"/>
    </row>
    <row r="33" customFormat="false" ht="15" hidden="false" customHeight="false" outlineLevel="0" collapsed="false">
      <c r="A33" s="15" t="s">
        <v>199</v>
      </c>
    </row>
  </sheetData>
  <conditionalFormatting sqref="R5:R30">
    <cfRule type="expression" priority="2" aboveAverage="0" equalAverage="0" bottom="0" percent="0" rank="0" text="" dxfId="0">
      <formula>AND(R5&lt;&gt;"",R5&gt;1)</formula>
    </cfRule>
    <cfRule type="expression" priority="3" aboveAverage="0" equalAverage="0" bottom="0" percent="0" rank="0" text="" dxfId="1">
      <formula>AND(R5&lt;&gt;"",R5&lt;=1)</formula>
    </cfRule>
  </conditionalFormatting>
  <conditionalFormatting sqref="O5:O30">
    <cfRule type="expression" priority="4" aboveAverage="0" equalAverage="0" bottom="0" percent="0" rank="0" text="" dxfId="2">
      <formula>AND(O5&lt;&gt;"",O5&lt;0.8)</formula>
    </cfRule>
  </conditionalFormatting>
  <conditionalFormatting sqref="X5:X30">
    <cfRule type="expression" priority="5" aboveAverage="0" equalAverage="0" bottom="0" percent="0" rank="0" text="" dxfId="0">
      <formula>X5="Gastó de más"</formula>
    </cfRule>
    <cfRule type="expression" priority="6" aboveAverage="0" equalAverage="0" bottom="0" percent="0" rank="0" text="" dxfId="0">
      <formula>X5="Costo alto"</formula>
    </cfRule>
    <cfRule type="expression" priority="7" aboveAverage="0" equalAverage="0" bottom="0" percent="0" rank="0" text="" dxfId="2">
      <formula>X5="Bajo proyección"</formula>
    </cfRule>
    <cfRule type="expression" priority="8" aboveAverage="0" equalAverage="0" bottom="0" percent="0" rank="0" text="" dxfId="1">
      <formula>X5="En línea"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5"/>
    <col collapsed="false" customWidth="true" hidden="false" outlineLevel="0" max="5" min="5" style="0" width="20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200</v>
      </c>
    </row>
    <row r="3" customFormat="false" ht="15" hidden="false" customHeight="false" outlineLevel="0" collapsed="false">
      <c r="A3" s="4" t="s">
        <v>201</v>
      </c>
      <c r="B3" s="4" t="s">
        <v>141</v>
      </c>
      <c r="C3" s="4" t="s">
        <v>202</v>
      </c>
      <c r="D3" s="4" t="s">
        <v>184</v>
      </c>
      <c r="E3" s="4" t="s">
        <v>203</v>
      </c>
    </row>
    <row r="4" customFormat="false" ht="15" hidden="false" customHeight="false" outlineLevel="0" collapsed="false">
      <c r="A4" s="5" t="s">
        <v>41</v>
      </c>
      <c r="B4" s="10" t="n">
        <f aca="false">SUMIF(Plan!$E$5:$E$30,A4,Plan!$M$5:$M$30)</f>
        <v>10215</v>
      </c>
      <c r="C4" s="14" t="n">
        <f aca="false">IF($B$12=0,0,B4/$B$12)</f>
        <v>0.154425653277204</v>
      </c>
      <c r="D4" s="10" t="n">
        <f aca="false">SUMIF(Control!$B$5:$B$30,A4,Control!$J$5:$J$30)</f>
        <v>9055.446</v>
      </c>
      <c r="E4" s="14" t="n">
        <f aca="false">IF(B4=0,"",D4/B4)</f>
        <v>0.88648516886931</v>
      </c>
    </row>
    <row r="5" customFormat="false" ht="15" hidden="false" customHeight="false" outlineLevel="0" collapsed="false">
      <c r="A5" s="5" t="s">
        <v>48</v>
      </c>
      <c r="B5" s="10" t="n">
        <f aca="false">SUMIF(Plan!$E$5:$E$30,A5,Plan!$M$5:$M$30)</f>
        <v>3500</v>
      </c>
      <c r="C5" s="14" t="n">
        <f aca="false">IF($B$12=0,0,B5/$B$12)</f>
        <v>0.0529113838933152</v>
      </c>
      <c r="D5" s="10" t="n">
        <f aca="false">SUMIF(Control!$B$5:$B$30,A5,Control!$J$5:$J$30)</f>
        <v>3496.547</v>
      </c>
      <c r="E5" s="14" t="n">
        <f aca="false">IF(B5=0,"",D5/B5)</f>
        <v>0.999013428571429</v>
      </c>
    </row>
    <row r="6" customFormat="false" ht="15" hidden="false" customHeight="false" outlineLevel="0" collapsed="false">
      <c r="A6" s="5" t="s">
        <v>54</v>
      </c>
      <c r="B6" s="10" t="n">
        <f aca="false">SUMIF(Plan!$E$5:$E$30,A6,Plan!$M$5:$M$30)</f>
        <v>2000.023</v>
      </c>
      <c r="C6" s="14" t="n">
        <f aca="false">IF($B$12=0,0,B6/$B$12)</f>
        <v>0.0302354242138457</v>
      </c>
      <c r="D6" s="10" t="n">
        <f aca="false">SUMIF(Control!$B$5:$B$30,A6,Control!$J$5:$J$30)</f>
        <v>1999.7875</v>
      </c>
      <c r="E6" s="14" t="n">
        <f aca="false">IF(B6=0,"",D6/B6)</f>
        <v>0.99988225135411</v>
      </c>
    </row>
    <row r="7" customFormat="false" ht="15" hidden="false" customHeight="false" outlineLevel="0" collapsed="false">
      <c r="A7" s="5" t="s">
        <v>61</v>
      </c>
      <c r="B7" s="10" t="n">
        <f aca="false">SUMIF(Plan!$E$5:$E$30,A7,Plan!$M$5:$M$30)</f>
        <v>36910.79</v>
      </c>
      <c r="C7" s="14" t="n">
        <f aca="false">IF($B$12=0,0,B7/$B$12)</f>
        <v>0.558000279855868</v>
      </c>
      <c r="D7" s="10" t="n">
        <f aca="false">SUMIF(Control!$B$5:$B$30,A7,Control!$J$5:$J$30)</f>
        <v>35630.5165</v>
      </c>
      <c r="E7" s="14" t="n">
        <f aca="false">IF(B7=0,"",D7/B7)</f>
        <v>0.965314383680219</v>
      </c>
    </row>
    <row r="8" customFormat="false" ht="15" hidden="false" customHeight="false" outlineLevel="0" collapsed="false">
      <c r="A8" s="5" t="s">
        <v>68</v>
      </c>
      <c r="B8" s="10" t="n">
        <f aca="false">SUMIF(Plan!$E$5:$E$30,A8,Plan!$M$5:$M$30)</f>
        <v>9065</v>
      </c>
      <c r="C8" s="14" t="n">
        <f aca="false">IF($B$12=0,0,B8/$B$12)</f>
        <v>0.137040484283686</v>
      </c>
      <c r="D8" s="10" t="n">
        <f aca="false">SUMIF(Control!$B$5:$B$30,A8,Control!$J$5:$J$30)</f>
        <v>8544.2505</v>
      </c>
      <c r="E8" s="14" t="n">
        <f aca="false">IF(B8=0,"",D8/B8)</f>
        <v>0.942553833425262</v>
      </c>
    </row>
    <row r="9" customFormat="false" ht="15" hidden="false" customHeight="false" outlineLevel="0" collapsed="false">
      <c r="A9" s="5" t="s">
        <v>72</v>
      </c>
      <c r="B9" s="10" t="n">
        <f aca="false">SUMIF(Plan!$E$5:$E$30,A9,Plan!$M$5:$M$30)</f>
        <v>392.5</v>
      </c>
      <c r="C9" s="14" t="n">
        <f aca="false">IF($B$12=0,0,B9/$B$12)</f>
        <v>0.00593363376517892</v>
      </c>
      <c r="D9" s="10" t="n">
        <f aca="false">SUMIF(Control!$B$5:$B$30,A9,Control!$J$5:$J$30)</f>
        <v>391.6365</v>
      </c>
      <c r="E9" s="14" t="n">
        <f aca="false">IF(B9=0,"",D9/B9)</f>
        <v>0.9978</v>
      </c>
    </row>
    <row r="10" customFormat="false" ht="15" hidden="false" customHeight="false" outlineLevel="0" collapsed="false">
      <c r="A10" s="5" t="s">
        <v>78</v>
      </c>
      <c r="B10" s="10" t="n">
        <f aca="false">SUMIF(Plan!$E$5:$E$30,A10,Plan!$M$5:$M$30)</f>
        <v>2000.023</v>
      </c>
      <c r="C10" s="14" t="n">
        <f aca="false">IF($B$12=0,0,B10/$B$12)</f>
        <v>0.0302354242138457</v>
      </c>
      <c r="D10" s="10" t="n">
        <f aca="false">SUMIF(Control!$B$5:$B$30,A10,Control!$J$5:$J$30)</f>
        <v>1997.668</v>
      </c>
      <c r="E10" s="14" t="n">
        <f aca="false">IF(B10=0,"",D10/B10)</f>
        <v>0.998822513541094</v>
      </c>
    </row>
    <row r="11" customFormat="false" ht="15" hidden="false" customHeight="false" outlineLevel="0" collapsed="false">
      <c r="A11" s="5" t="s">
        <v>85</v>
      </c>
      <c r="B11" s="10" t="n">
        <f aca="false">SUMIF(Plan!$E$5:$E$30,A11,Plan!$M$5:$M$30)</f>
        <v>2065</v>
      </c>
      <c r="C11" s="14" t="n">
        <f aca="false">IF($B$12=0,0,B11/$B$12)</f>
        <v>0.0312177164970559</v>
      </c>
      <c r="D11" s="10" t="n">
        <f aca="false">SUMIF(Control!$B$5:$B$30,A11,Control!$J$5:$J$30)</f>
        <v>2037.3215</v>
      </c>
      <c r="E11" s="14" t="n">
        <f aca="false">IF(B11=0,"",D11/B11)</f>
        <v>0.986596368038741</v>
      </c>
    </row>
    <row r="12" customFormat="false" ht="15" hidden="false" customHeight="false" outlineLevel="0" collapsed="false">
      <c r="A12" s="11" t="s">
        <v>121</v>
      </c>
      <c r="B12" s="12" t="n">
        <f aca="false">SUM(B4:B11)</f>
        <v>66148.336</v>
      </c>
      <c r="C12" s="26" t="n">
        <f aca="false">SUM(C4:C11)</f>
        <v>1</v>
      </c>
      <c r="D12" s="12" t="n">
        <f aca="false">SUM(D4:D11)</f>
        <v>63153.1735</v>
      </c>
      <c r="E12" s="26" t="n">
        <f aca="false">IF(B12=0,"",D12/B12)</f>
        <v>0.954720516325611</v>
      </c>
    </row>
    <row r="15" customFormat="false" ht="15" hidden="false" customHeight="false" outlineLevel="0" collapsed="false">
      <c r="A15" s="4" t="s">
        <v>204</v>
      </c>
      <c r="B15" s="4" t="s">
        <v>205</v>
      </c>
      <c r="C15" s="4" t="s">
        <v>206</v>
      </c>
      <c r="D15" s="4" t="s">
        <v>184</v>
      </c>
      <c r="E15" s="4" t="s">
        <v>207</v>
      </c>
      <c r="F15" s="4" t="s">
        <v>208</v>
      </c>
    </row>
    <row r="16" customFormat="false" ht="15" hidden="false" customHeight="false" outlineLevel="0" collapsed="false">
      <c r="A16" s="5" t="s">
        <v>43</v>
      </c>
      <c r="B16" s="10" t="n">
        <f aca="false">IFERROR(VLOOKUP(A16,Insights!$A$12:$D$23,4,FALSE()),0)</f>
        <v>30672.4626</v>
      </c>
      <c r="C16" s="10" t="n">
        <f aca="false">SUMIF(Plan!$K$5:$K$30,A16,Plan!$M$5:$M$30)</f>
        <v>27215.023</v>
      </c>
      <c r="D16" s="10" t="n">
        <f aca="false">SUMIF(Control!$E$5:$E$30,A16,Control!$J$5:$J$30)</f>
        <v>27199.5435</v>
      </c>
      <c r="E16" s="10" t="n">
        <f aca="false">B16-C16</f>
        <v>3457.4396</v>
      </c>
      <c r="F16" s="10" t="n">
        <f aca="false">C16-D16</f>
        <v>15.4795000000013</v>
      </c>
    </row>
    <row r="17" customFormat="false" ht="15" hidden="false" customHeight="false" outlineLevel="0" collapsed="false">
      <c r="A17" s="5" t="s">
        <v>49</v>
      </c>
      <c r="B17" s="10" t="n">
        <f aca="false">IFERROR(VLOOKUP(A17,Insights!$A$12:$D$23,4,FALSE()),0)</f>
        <v>3917.0755</v>
      </c>
      <c r="C17" s="10" t="n">
        <f aca="false">SUMIF(Plan!$K$5:$K$30,A17,Plan!$M$5:$M$30)</f>
        <v>9256.61</v>
      </c>
      <c r="D17" s="10" t="n">
        <f aca="false">SUMIF(Control!$E$5:$E$30,A17,Control!$J$5:$J$30)</f>
        <v>9372.272</v>
      </c>
      <c r="E17" s="10" t="n">
        <f aca="false">B17-C17</f>
        <v>-5339.5345</v>
      </c>
      <c r="F17" s="10" t="n">
        <f aca="false">C17-D17</f>
        <v>-115.661999999998</v>
      </c>
    </row>
    <row r="18" customFormat="false" ht="15" hidden="false" customHeight="false" outlineLevel="0" collapsed="false">
      <c r="A18" s="5" t="s">
        <v>52</v>
      </c>
      <c r="B18" s="10" t="n">
        <f aca="false">IFERROR(VLOOKUP(A18,Insights!$A$12:$D$23,4,FALSE()),0)</f>
        <v>-8957.3265</v>
      </c>
      <c r="C18" s="10" t="n">
        <f aca="false">SUMIF(Plan!$K$5:$K$30,A18,Plan!$M$5:$M$30)</f>
        <v>5000</v>
      </c>
      <c r="D18" s="10" t="n">
        <f aca="false">SUMIF(Control!$E$5:$E$30,A18,Control!$J$5:$J$30)</f>
        <v>4990.6375</v>
      </c>
      <c r="E18" s="10" t="n">
        <f aca="false">B18-C18</f>
        <v>-13957.3265</v>
      </c>
      <c r="F18" s="10" t="n">
        <f aca="false">C18-D18</f>
        <v>9.36250000000018</v>
      </c>
    </row>
    <row r="19" customFormat="false" ht="15" hidden="false" customHeight="false" outlineLevel="0" collapsed="false">
      <c r="A19" s="5" t="s">
        <v>63</v>
      </c>
      <c r="B19" s="10" t="n">
        <f aca="false">IFERROR(VLOOKUP(A19,Insights!$A$12:$D$23,4,FALSE()),0)</f>
        <v>9000.6165</v>
      </c>
      <c r="C19" s="10" t="n">
        <f aca="false">SUMIF(Plan!$K$5:$K$30,A19,Plan!$M$5:$M$30)</f>
        <v>1065</v>
      </c>
      <c r="D19" s="10" t="n">
        <f aca="false">SUMIF(Control!$E$5:$E$30,A19,Control!$J$5:$J$30)</f>
        <v>1037.31</v>
      </c>
      <c r="E19" s="10" t="n">
        <f aca="false">B19-C19</f>
        <v>7935.6165</v>
      </c>
      <c r="F19" s="10" t="n">
        <f aca="false">C19-D19</f>
        <v>27.6900000000001</v>
      </c>
    </row>
    <row r="20" customFormat="false" ht="15" hidden="false" customHeight="false" outlineLevel="0" collapsed="false">
      <c r="A20" s="5" t="s">
        <v>69</v>
      </c>
      <c r="B20" s="10" t="n">
        <f aca="false">IFERROR(VLOOKUP(A20,Insights!$A$12:$D$23,4,FALSE()),0)</f>
        <v>1272.383</v>
      </c>
      <c r="C20" s="10" t="n">
        <f aca="false">SUMIF(Plan!$K$5:$K$30,A20,Plan!$M$5:$M$30)</f>
        <v>6300</v>
      </c>
      <c r="D20" s="10" t="n">
        <f aca="false">SUMIF(Control!$E$5:$E$30,A20,Control!$J$5:$J$30)</f>
        <v>6298.972</v>
      </c>
      <c r="E20" s="10" t="n">
        <f aca="false">B20-C20</f>
        <v>-5027.617</v>
      </c>
      <c r="F20" s="10" t="n">
        <f aca="false">C20-D20</f>
        <v>1.02800000000025</v>
      </c>
    </row>
    <row r="21" customFormat="false" ht="15" hidden="false" customHeight="false" outlineLevel="0" collapsed="false">
      <c r="A21" s="5" t="s">
        <v>74</v>
      </c>
      <c r="B21" s="10" t="n">
        <f aca="false">IFERROR(VLOOKUP(A21,Insights!$A$12:$D$23,4,FALSE()),0)</f>
        <v>-609.28</v>
      </c>
      <c r="C21" s="10" t="n">
        <f aca="false">SUMIF(Plan!$K$5:$K$30,A21,Plan!$M$5:$M$30)</f>
        <v>1600</v>
      </c>
      <c r="D21" s="10" t="n">
        <f aca="false">SUMIF(Control!$E$5:$E$30,A21,Control!$J$5:$J$30)</f>
        <v>1600</v>
      </c>
      <c r="E21" s="10" t="n">
        <f aca="false">B21-C21</f>
        <v>-2209.28</v>
      </c>
      <c r="F21" s="10" t="n">
        <f aca="false">C21-D21</f>
        <v>0</v>
      </c>
    </row>
    <row r="22" customFormat="false" ht="15" hidden="false" customHeight="false" outlineLevel="0" collapsed="false">
      <c r="A22" s="5" t="s">
        <v>80</v>
      </c>
      <c r="B22" s="10" t="n">
        <f aca="false">IFERROR(VLOOKUP(A22,Insights!$A$12:$D$23,4,FALSE()),0)</f>
        <v>-3807.5221</v>
      </c>
      <c r="C22" s="10" t="n">
        <f aca="false">SUMIF(Plan!$K$5:$K$30,A22,Plan!$M$5:$M$30)</f>
        <v>3865</v>
      </c>
      <c r="D22" s="10" t="n">
        <f aca="false">SUMIF(Control!$E$5:$E$30,A22,Control!$J$5:$J$30)</f>
        <v>3424.33</v>
      </c>
      <c r="E22" s="10" t="n">
        <f aca="false">B22-C22</f>
        <v>-7672.5221</v>
      </c>
      <c r="F22" s="10" t="n">
        <f aca="false">C22-D22</f>
        <v>440.67</v>
      </c>
    </row>
    <row r="23" customFormat="false" ht="15" hidden="false" customHeight="false" outlineLevel="0" collapsed="false">
      <c r="A23" s="5" t="s">
        <v>87</v>
      </c>
      <c r="B23" s="10" t="n">
        <f aca="false">IFERROR(VLOOKUP(A23,Insights!$A$12:$D$23,4,FALSE()),0)</f>
        <v>12819.5315</v>
      </c>
      <c r="C23" s="10" t="n">
        <f aca="false">SUMIF(Plan!$K$5:$K$30,A23,Plan!$M$5:$M$30)</f>
        <v>8454.18</v>
      </c>
      <c r="D23" s="10" t="n">
        <f aca="false">SUMIF(Control!$E$5:$E$30,A23,Control!$J$5:$J$30)</f>
        <v>5840.7925</v>
      </c>
      <c r="E23" s="10" t="n">
        <f aca="false">B23-C23</f>
        <v>4365.3515</v>
      </c>
      <c r="F23" s="10" t="n">
        <f aca="false">C23-D23</f>
        <v>2613.3875</v>
      </c>
    </row>
    <row r="24" customFormat="false" ht="15" hidden="false" customHeight="false" outlineLevel="0" collapsed="false">
      <c r="A24" s="5" t="s">
        <v>78</v>
      </c>
      <c r="B24" s="10" t="n">
        <f aca="false">IFERROR(VLOOKUP(A24,Insights!$A$12:$D$23,4,FALSE()),0)</f>
        <v>13137.887285</v>
      </c>
      <c r="C24" s="10" t="n">
        <f aca="false">SUMIF(Plan!$K$5:$K$30,A24,Plan!$M$5:$M$30)</f>
        <v>2000.023</v>
      </c>
      <c r="D24" s="10" t="n">
        <f aca="false">SUMIF(Control!$E$5:$E$30,A24,Control!$J$5:$J$30)</f>
        <v>1997.668</v>
      </c>
      <c r="E24" s="10" t="n">
        <f aca="false">B24-C24</f>
        <v>11137.864285</v>
      </c>
      <c r="F24" s="10" t="n">
        <f aca="false">C24-D24</f>
        <v>2.35500000000002</v>
      </c>
    </row>
    <row r="25" customFormat="false" ht="15" hidden="false" customHeight="false" outlineLevel="0" collapsed="false">
      <c r="A25" s="5" t="s">
        <v>92</v>
      </c>
      <c r="B25" s="10" t="n">
        <f aca="false">IFERROR(VLOOKUP(A25,Insights!$A$12:$D$23,4,FALSE()),0)</f>
        <v>7360.758285</v>
      </c>
      <c r="C25" s="10" t="n">
        <f aca="false">SUMIF(Plan!$K$5:$K$30,A25,Plan!$M$5:$M$30)</f>
        <v>1000</v>
      </c>
      <c r="D25" s="10" t="n">
        <f aca="false">SUMIF(Control!$E$5:$E$30,A25,Control!$J$5:$J$30)</f>
        <v>1000.0115</v>
      </c>
      <c r="E25" s="10" t="n">
        <f aca="false">B25-C25</f>
        <v>6360.758285</v>
      </c>
      <c r="F25" s="10" t="n">
        <f aca="false">C25-D25</f>
        <v>-0.0114999999999554</v>
      </c>
    </row>
    <row r="26" customFormat="false" ht="15" hidden="false" customHeight="false" outlineLevel="0" collapsed="false">
      <c r="A26" s="5" t="s">
        <v>95</v>
      </c>
      <c r="B26" s="10" t="n">
        <f aca="false">IFERROR(VLOOKUP(A26,Insights!$A$12:$D$23,4,FALSE()),0)</f>
        <v>-4057.263</v>
      </c>
      <c r="C26" s="10" t="n">
        <f aca="false">SUMIF(Plan!$K$5:$K$30,A26,Plan!$M$5:$M$30)</f>
        <v>0</v>
      </c>
      <c r="D26" s="10" t="n">
        <f aca="false">SUMIF(Control!$E$5:$E$30,A26,Control!$J$5:$J$30)</f>
        <v>0</v>
      </c>
      <c r="E26" s="10" t="n">
        <f aca="false">B26-C26</f>
        <v>-4057.263</v>
      </c>
      <c r="F26" s="10" t="n">
        <f aca="false">C26-D26</f>
        <v>0</v>
      </c>
    </row>
    <row r="27" customFormat="false" ht="15" hidden="false" customHeight="false" outlineLevel="0" collapsed="false">
      <c r="A27" s="5" t="s">
        <v>98</v>
      </c>
      <c r="B27" s="10" t="n">
        <f aca="false">IFERROR(VLOOKUP(A27,Insights!$A$12:$D$23,4,FALSE()),0)</f>
        <v>0</v>
      </c>
      <c r="C27" s="10" t="n">
        <f aca="false">SUMIF(Plan!$K$5:$K$30,A27,Plan!$M$5:$M$30)</f>
        <v>392.5</v>
      </c>
      <c r="D27" s="10" t="n">
        <f aca="false">SUMIF(Control!$E$5:$E$30,A27,Control!$J$5:$J$30)</f>
        <v>391.6365</v>
      </c>
      <c r="E27" s="10" t="n">
        <f aca="false">B27-C27</f>
        <v>-392.5</v>
      </c>
      <c r="F27" s="10" t="n">
        <f aca="false">C27-D27</f>
        <v>0.863499999999988</v>
      </c>
    </row>
    <row r="28" customFormat="false" ht="15" hidden="false" customHeight="false" outlineLevel="0" collapsed="false">
      <c r="A28" s="11" t="s">
        <v>121</v>
      </c>
      <c r="B28" s="12" t="n">
        <f aca="false">SUM(B16:B27)</f>
        <v>60749.32307</v>
      </c>
      <c r="C28" s="12" t="n">
        <f aca="false">SUM(C16:C27)</f>
        <v>66148.336</v>
      </c>
      <c r="D28" s="12" t="n">
        <f aca="false">SUM(D16:D27)</f>
        <v>63153.1735</v>
      </c>
      <c r="E28" s="12" t="n">
        <f aca="false">SUM(E16:E27)</f>
        <v>-5399.01293</v>
      </c>
      <c r="F28" s="12" t="n">
        <f aca="false">SUM(F16:F27)</f>
        <v>2995.16250000001</v>
      </c>
    </row>
    <row r="31" customFormat="false" ht="15" hidden="false" customHeight="false" outlineLevel="0" collapsed="false">
      <c r="A31" s="4" t="s">
        <v>209</v>
      </c>
      <c r="B31" s="4" t="s">
        <v>206</v>
      </c>
      <c r="C31" s="4" t="s">
        <v>184</v>
      </c>
      <c r="D31" s="4" t="s">
        <v>203</v>
      </c>
    </row>
    <row r="32" customFormat="false" ht="15" hidden="false" customHeight="false" outlineLevel="0" collapsed="false">
      <c r="A32" s="5" t="s">
        <v>34</v>
      </c>
      <c r="B32" s="10" t="n">
        <f aca="false">SUMIF(Plan!$I$5:$I$30,A32,Plan!$M$5:$M$30)</f>
        <v>30607.546</v>
      </c>
      <c r="C32" s="10" t="n">
        <f aca="false">SUMIF(Control!$C$5:$C$30,A32,Control!$J$5:$J$30)</f>
        <v>30588.8595</v>
      </c>
      <c r="D32" s="14" t="n">
        <f aca="false">IF(B32=0,"",C32/B32)</f>
        <v>0.999389480620237</v>
      </c>
    </row>
    <row r="33" customFormat="false" ht="15" hidden="false" customHeight="false" outlineLevel="0" collapsed="false">
      <c r="A33" s="5" t="s">
        <v>46</v>
      </c>
      <c r="B33" s="10" t="n">
        <f aca="false">SUMIF(Plan!$I$5:$I$30,A33,Plan!$M$5:$M$30)</f>
        <v>9256.61</v>
      </c>
      <c r="C33" s="10" t="n">
        <f aca="false">SUMIF(Control!$C$5:$C$30,A33,Control!$J$5:$J$30)</f>
        <v>9372.272</v>
      </c>
      <c r="D33" s="14" t="n">
        <f aca="false">IF(B33=0,"",C33/B33)</f>
        <v>1.01249507108974</v>
      </c>
    </row>
    <row r="34" customFormat="false" ht="15" hidden="false" customHeight="false" outlineLevel="0" collapsed="false">
      <c r="A34" s="5" t="s">
        <v>52</v>
      </c>
      <c r="B34" s="10" t="n">
        <f aca="false">SUMIF(Plan!$I$5:$I$30,A34,Plan!$M$5:$M$30)</f>
        <v>5000</v>
      </c>
      <c r="C34" s="10" t="n">
        <f aca="false">SUMIF(Control!$C$5:$C$30,A34,Control!$J$5:$J$30)</f>
        <v>4990.6375</v>
      </c>
      <c r="D34" s="14" t="n">
        <f aca="false">IF(B34=0,"",C34/B34)</f>
        <v>0.9981275</v>
      </c>
    </row>
    <row r="35" customFormat="false" ht="15" hidden="false" customHeight="false" outlineLevel="0" collapsed="false">
      <c r="A35" s="5" t="s">
        <v>58</v>
      </c>
      <c r="B35" s="10" t="n">
        <f aca="false">SUMIF(Plan!$I$5:$I$30,A35,Plan!$M$5:$M$30)</f>
        <v>8454.18</v>
      </c>
      <c r="C35" s="10" t="n">
        <f aca="false">SUMIF(Control!$C$5:$C$30,A35,Control!$J$5:$J$30)</f>
        <v>5840.7925</v>
      </c>
      <c r="D35" s="14" t="n">
        <f aca="false">IF(B35=0,"",C35/B35)</f>
        <v>0.690876288415908</v>
      </c>
    </row>
    <row r="36" customFormat="false" ht="15" hidden="false" customHeight="false" outlineLevel="0" collapsed="false">
      <c r="A36" s="5" t="s">
        <v>63</v>
      </c>
      <c r="B36" s="10" t="n">
        <f aca="false">SUMIF(Plan!$I$5:$I$30,A36,Plan!$M$5:$M$30)</f>
        <v>0</v>
      </c>
      <c r="C36" s="10" t="n">
        <f aca="false">SUMIF(Control!$C$5:$C$30,A36,Control!$J$5:$J$30)</f>
        <v>0</v>
      </c>
      <c r="D36" s="14" t="str">
        <f aca="false">IF(B36=0,"",C36/B36)</f>
        <v/>
      </c>
    </row>
    <row r="37" customFormat="false" ht="15" hidden="false" customHeight="false" outlineLevel="0" collapsed="false">
      <c r="A37" s="5" t="s">
        <v>70</v>
      </c>
      <c r="B37" s="10" t="n">
        <f aca="false">SUMIF(Plan!$I$5:$I$30,A37,Plan!$M$5:$M$30)</f>
        <v>4300</v>
      </c>
      <c r="C37" s="10" t="n">
        <f aca="false">SUMIF(Control!$C$5:$C$30,A37,Control!$J$5:$J$30)</f>
        <v>4298.974</v>
      </c>
      <c r="D37" s="14" t="n">
        <f aca="false">IF(B37=0,"",C37/B37)</f>
        <v>0.999761395348837</v>
      </c>
    </row>
    <row r="38" customFormat="false" ht="15" hidden="false" customHeight="false" outlineLevel="0" collapsed="false">
      <c r="A38" s="5" t="s">
        <v>75</v>
      </c>
      <c r="B38" s="10" t="n">
        <f aca="false">SUMIF(Plan!$I$5:$I$30,A38,Plan!$M$5:$M$30)</f>
        <v>3600</v>
      </c>
      <c r="C38" s="10" t="n">
        <f aca="false">SUMIF(Control!$C$5:$C$30,A38,Control!$J$5:$J$30)</f>
        <v>3599.998</v>
      </c>
      <c r="D38" s="14" t="n">
        <f aca="false">IF(B38=0,"",C38/B38)</f>
        <v>0.999999444444444</v>
      </c>
    </row>
    <row r="39" customFormat="false" ht="15" hidden="false" customHeight="false" outlineLevel="0" collapsed="false">
      <c r="A39" s="5" t="s">
        <v>81</v>
      </c>
      <c r="B39" s="10" t="n">
        <f aca="false">SUMIF(Plan!$I$5:$I$30,A39,Plan!$M$5:$M$30)</f>
        <v>4930</v>
      </c>
      <c r="C39" s="10" t="n">
        <f aca="false">SUMIF(Control!$C$5:$C$30,A39,Control!$J$5:$J$30)</f>
        <v>4461.64</v>
      </c>
      <c r="D39" s="14" t="n">
        <f aca="false">IF(B39=0,"",C39/B39)</f>
        <v>0.904997971602434</v>
      </c>
    </row>
    <row r="40" customFormat="false" ht="15" hidden="false" customHeight="false" outlineLevel="0" collapsed="false">
      <c r="A40" s="5" t="s">
        <v>88</v>
      </c>
      <c r="B40" s="10" t="n">
        <f aca="false">SUMIF(Plan!$I$5:$I$30,A40,Plan!$M$5:$M$30)</f>
        <v>0</v>
      </c>
      <c r="C40" s="10" t="n">
        <f aca="false">SUMIF(Control!$C$5:$C$30,A40,Control!$J$5:$J$30)</f>
        <v>0</v>
      </c>
      <c r="D40" s="14" t="str">
        <f aca="false">IF(B40=0,"",C40/B40)</f>
        <v/>
      </c>
    </row>
    <row r="41" customFormat="false" ht="15" hidden="false" customHeight="false" outlineLevel="0" collapsed="false">
      <c r="A41" s="11" t="s">
        <v>121</v>
      </c>
      <c r="B41" s="12" t="n">
        <f aca="false">SUM(B32:B40)</f>
        <v>66148.336</v>
      </c>
      <c r="C41" s="12" t="n">
        <f aca="false">SUM(C32:C40)</f>
        <v>63153.1735</v>
      </c>
      <c r="D41" s="26" t="n">
        <f aca="false">IF(B41=0,"",C41/B41)</f>
        <v>0.954720516325611</v>
      </c>
    </row>
    <row r="43" customFormat="false" ht="15" hidden="false" customHeight="false" outlineLevel="0" collapsed="false">
      <c r="A43" s="15" t="s">
        <v>210</v>
      </c>
    </row>
  </sheetData>
  <conditionalFormatting sqref="E16">
    <cfRule type="cellIs" priority="2" operator="lessThan" aboveAverage="0" equalAverage="0" bottom="0" percent="0" rank="0" text="" dxfId="3">
      <formula>0</formula>
    </cfRule>
  </conditionalFormatting>
  <conditionalFormatting sqref="E17">
    <cfRule type="cellIs" priority="3" operator="lessThan" aboveAverage="0" equalAverage="0" bottom="0" percent="0" rank="0" text="" dxfId="3">
      <formula>0</formula>
    </cfRule>
  </conditionalFormatting>
  <conditionalFormatting sqref="E18">
    <cfRule type="cellIs" priority="4" operator="lessThan" aboveAverage="0" equalAverage="0" bottom="0" percent="0" rank="0" text="" dxfId="3">
      <formula>0</formula>
    </cfRule>
  </conditionalFormatting>
  <conditionalFormatting sqref="E19">
    <cfRule type="cellIs" priority="5" operator="lessThan" aboveAverage="0" equalAverage="0" bottom="0" percent="0" rank="0" text="" dxfId="3">
      <formula>0</formula>
    </cfRule>
  </conditionalFormatting>
  <conditionalFormatting sqref="E20">
    <cfRule type="cellIs" priority="6" operator="lessThan" aboveAverage="0" equalAverage="0" bottom="0" percent="0" rank="0" text="" dxfId="3">
      <formula>0</formula>
    </cfRule>
  </conditionalFormatting>
  <conditionalFormatting sqref="E21">
    <cfRule type="cellIs" priority="7" operator="lessThan" aboveAverage="0" equalAverage="0" bottom="0" percent="0" rank="0" text="" dxfId="3">
      <formula>0</formula>
    </cfRule>
  </conditionalFormatting>
  <conditionalFormatting sqref="E22">
    <cfRule type="cellIs" priority="8" operator="lessThan" aboveAverage="0" equalAverage="0" bottom="0" percent="0" rank="0" text="" dxfId="3">
      <formula>0</formula>
    </cfRule>
  </conditionalFormatting>
  <conditionalFormatting sqref="E23">
    <cfRule type="cellIs" priority="9" operator="lessThan" aboveAverage="0" equalAverage="0" bottom="0" percent="0" rank="0" text="" dxfId="3">
      <formula>0</formula>
    </cfRule>
  </conditionalFormatting>
  <conditionalFormatting sqref="E24">
    <cfRule type="cellIs" priority="10" operator="lessThan" aboveAverage="0" equalAverage="0" bottom="0" percent="0" rank="0" text="" dxfId="3">
      <formula>0</formula>
    </cfRule>
  </conditionalFormatting>
  <conditionalFormatting sqref="E25">
    <cfRule type="cellIs" priority="11" operator="lessThan" aboveAverage="0" equalAverage="0" bottom="0" percent="0" rank="0" text="" dxfId="3">
      <formula>0</formula>
    </cfRule>
  </conditionalFormatting>
  <conditionalFormatting sqref="E26">
    <cfRule type="cellIs" priority="12" operator="lessThan" aboveAverage="0" equalAverage="0" bottom="0" percent="0" rank="0" text="" dxfId="3">
      <formula>0</formula>
    </cfRule>
  </conditionalFormatting>
  <conditionalFormatting sqref="E27">
    <cfRule type="cellIs" priority="13" operator="lessThan" aboveAverage="0" equalAverage="0" bottom="0" percent="0" rank="0" text="" dxfId="3">
      <formula>0</formula>
    </cfRule>
  </conditionalFormatting>
  <conditionalFormatting sqref="E28">
    <cfRule type="cellIs" priority="14" operator="less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48"/>
    <col collapsed="false" customWidth="true" hidden="false" outlineLevel="0" max="5" min="5" style="0" width="36"/>
  </cols>
  <sheetData>
    <row r="1" customFormat="false" ht="17.35" hidden="false" customHeight="false" outlineLevel="0" collapsed="false">
      <c r="A1" s="1" t="s">
        <v>211</v>
      </c>
    </row>
    <row r="3" customFormat="false" ht="15" hidden="false" customHeight="false" outlineLevel="0" collapsed="false">
      <c r="A3" s="4" t="s">
        <v>212</v>
      </c>
      <c r="B3" s="4" t="s">
        <v>213</v>
      </c>
      <c r="C3" s="4" t="s">
        <v>214</v>
      </c>
      <c r="D3" s="4" t="s">
        <v>215</v>
      </c>
      <c r="E3" s="4" t="s">
        <v>216</v>
      </c>
    </row>
    <row r="4" customFormat="false" ht="23.85" hidden="false" customHeight="false" outlineLevel="0" collapsed="false">
      <c r="A4" s="18" t="n">
        <v>1</v>
      </c>
      <c r="B4" s="5" t="s">
        <v>217</v>
      </c>
      <c r="C4" s="5" t="s">
        <v>218</v>
      </c>
      <c r="D4" s="5" t="s">
        <v>219</v>
      </c>
      <c r="E4" s="5" t="s">
        <v>220</v>
      </c>
    </row>
    <row r="5" customFormat="false" ht="23.85" hidden="false" customHeight="false" outlineLevel="0" collapsed="false">
      <c r="A5" s="18" t="n">
        <v>2</v>
      </c>
      <c r="B5" s="5" t="s">
        <v>221</v>
      </c>
      <c r="C5" s="5" t="s">
        <v>222</v>
      </c>
      <c r="D5" s="5" t="s">
        <v>223</v>
      </c>
      <c r="E5" s="5" t="s">
        <v>224</v>
      </c>
    </row>
    <row r="6" customFormat="false" ht="57.45" hidden="false" customHeight="false" outlineLevel="0" collapsed="false">
      <c r="A6" s="18" t="n">
        <v>3</v>
      </c>
      <c r="B6" s="5" t="s">
        <v>225</v>
      </c>
      <c r="C6" s="5" t="s">
        <v>226</v>
      </c>
      <c r="D6" s="5" t="s">
        <v>227</v>
      </c>
      <c r="E6" s="5" t="s">
        <v>228</v>
      </c>
    </row>
    <row r="7" customFormat="false" ht="23.85" hidden="false" customHeight="false" outlineLevel="0" collapsed="false">
      <c r="A7" s="18" t="n">
        <v>4</v>
      </c>
      <c r="B7" s="5" t="s">
        <v>229</v>
      </c>
      <c r="C7" s="5" t="s">
        <v>230</v>
      </c>
      <c r="D7" s="5" t="s">
        <v>231</v>
      </c>
      <c r="E7" s="5" t="s">
        <v>232</v>
      </c>
    </row>
    <row r="8" customFormat="false" ht="23.85" hidden="false" customHeight="false" outlineLevel="0" collapsed="false">
      <c r="A8" s="18" t="n">
        <v>5</v>
      </c>
      <c r="B8" s="5" t="s">
        <v>233</v>
      </c>
      <c r="C8" s="5" t="s">
        <v>234</v>
      </c>
      <c r="D8" s="5" t="s">
        <v>235</v>
      </c>
      <c r="E8" s="5" t="s">
        <v>236</v>
      </c>
    </row>
    <row r="9" customFormat="false" ht="15" hidden="false" customHeight="false" outlineLevel="0" collapsed="false">
      <c r="A9" s="18" t="n">
        <v>6</v>
      </c>
      <c r="B9" s="5" t="s">
        <v>237</v>
      </c>
      <c r="C9" s="5" t="s">
        <v>238</v>
      </c>
      <c r="D9" s="5" t="s">
        <v>239</v>
      </c>
      <c r="E9" s="5" t="s">
        <v>236</v>
      </c>
    </row>
    <row r="10" customFormat="false" ht="23.85" hidden="false" customHeight="false" outlineLevel="0" collapsed="false">
      <c r="A10" s="18" t="n">
        <v>7</v>
      </c>
      <c r="B10" s="5" t="s">
        <v>240</v>
      </c>
      <c r="C10" s="5" t="s">
        <v>241</v>
      </c>
      <c r="D10" s="5" t="s">
        <v>242</v>
      </c>
      <c r="E10" s="5" t="s">
        <v>243</v>
      </c>
    </row>
    <row r="11" customFormat="false" ht="23.85" hidden="false" customHeight="false" outlineLevel="0" collapsed="false">
      <c r="A11" s="18" t="n">
        <v>8</v>
      </c>
      <c r="B11" s="5" t="s">
        <v>88</v>
      </c>
      <c r="C11" s="5" t="s">
        <v>244</v>
      </c>
      <c r="D11" s="5" t="s">
        <v>245</v>
      </c>
      <c r="E11" s="5" t="s">
        <v>246</v>
      </c>
    </row>
    <row r="12" customFormat="false" ht="23.85" hidden="false" customHeight="false" outlineLevel="0" collapsed="false">
      <c r="A12" s="18" t="n">
        <v>9</v>
      </c>
      <c r="B12" s="5" t="s">
        <v>247</v>
      </c>
      <c r="C12" s="5" t="s">
        <v>248</v>
      </c>
      <c r="D12" s="5" t="s">
        <v>249</v>
      </c>
      <c r="E12" s="5" t="s">
        <v>246</v>
      </c>
    </row>
    <row r="13" customFormat="false" ht="15" hidden="false" customHeight="false" outlineLevel="0" collapsed="false">
      <c r="A13" s="18" t="n">
        <v>10</v>
      </c>
      <c r="B13" s="5" t="s">
        <v>250</v>
      </c>
      <c r="C13" s="5" t="s">
        <v>251</v>
      </c>
      <c r="D13" s="5" t="s">
        <v>252</v>
      </c>
      <c r="E13" s="5" t="s">
        <v>253</v>
      </c>
    </row>
    <row r="14" customFormat="false" ht="23.85" hidden="false" customHeight="false" outlineLevel="0" collapsed="false">
      <c r="A14" s="18" t="n">
        <v>11</v>
      </c>
      <c r="B14" s="5" t="s">
        <v>254</v>
      </c>
      <c r="C14" s="5" t="s">
        <v>255</v>
      </c>
      <c r="D14" s="5" t="s">
        <v>256</v>
      </c>
      <c r="E14" s="5" t="s">
        <v>257</v>
      </c>
    </row>
    <row r="15" customFormat="false" ht="23.85" hidden="false" customHeight="false" outlineLevel="0" collapsed="false">
      <c r="A15" s="18" t="n">
        <v>12</v>
      </c>
      <c r="B15" s="5" t="s">
        <v>258</v>
      </c>
      <c r="C15" s="5" t="s">
        <v>259</v>
      </c>
      <c r="D15" s="5" t="s">
        <v>260</v>
      </c>
      <c r="E15" s="5" t="s">
        <v>261</v>
      </c>
    </row>
    <row r="16" customFormat="false" ht="15" hidden="false" customHeight="false" outlineLevel="0" collapsed="false">
      <c r="A16" s="18" t="n">
        <v>13</v>
      </c>
      <c r="B16" s="5" t="s">
        <v>262</v>
      </c>
      <c r="C16" s="5" t="s">
        <v>263</v>
      </c>
      <c r="D16" s="5" t="s">
        <v>264</v>
      </c>
      <c r="E16" s="5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2026-10-21T22:19:22Z</dcterms:created>
  <dc:creator>openpyxl</dc:creator>
  <dc:description/>
  <dc:language>en-US</dc:language>
  <cp:lastModifiedBy/>
  <dcterms:modified xsi:type="dcterms:W3CDTF">2026-10-21T22:19:22Z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