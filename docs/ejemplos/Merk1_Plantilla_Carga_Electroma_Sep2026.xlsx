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Mes" sheetId="2" state="visible" r:id="rId4"/>
    <sheet name="Presupuesto" sheetId="3" state="visible" r:id="rId5"/>
    <sheet name="Calendario" sheetId="4" state="visible" r:id="rId6"/>
    <sheet name="KPIs" sheetId="5" state="visible" r:id="rId7"/>
    <sheet name="Plan" sheetId="6" state="visible" r:id="rId8"/>
    <sheet name="Catálog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<sst xmlns="http://schemas.openxmlformats.org/spreadsheetml/2006/main" count="529" uniqueCount="149">
  <si>
    <t xml:space="preserve">Merk1 · Plantilla de carga mensual</t>
  </si>
  <si>
    <t xml:space="preserve">Un solo archivo por mes. Puede traer una o varias marcas: cada fila dice a qué empresa y mes pertenece.</t>
  </si>
  <si>
    <t xml:space="preserve">Ejemplo precargado: ELECTROMA · Septiembre 2026. Las líneas 003, 006 y 023 conservan código de agosto porque son campañas que siguieron corriendo; ELE2608-002 es un arrastre de agosto sin plan.</t>
  </si>
  <si>
    <t xml:space="preserve">Hojas que Merk1 lee (no cambiar nombres de hojas ni de columnas):</t>
  </si>
  <si>
    <t xml:space="preserve">• Mes: tipo de cambio de cada empresa y mes.</t>
  </si>
  <si>
    <t xml:space="preserve">• Presupuesto: saldo anterior y presupuesto del mes por partida.</t>
  </si>
  <si>
    <t xml:space="preserve">• Calendario: actividades de oferta del mes.</t>
  </si>
  <si>
    <t xml:space="preserve">• KPIs: valores reales de años anteriores y meta del año, por KPI.</t>
  </si>
  <si>
    <t xml:space="preserve">• Plan: una fila por línea del plan de medios.</t>
  </si>
  <si>
    <t xml:space="preserve">Reglas</t>
  </si>
  <si>
    <t xml:space="preserve">• Fechas como fecha real (AAAA-MM-DD). Mes como texto AAAA-MM.</t>
  </si>
  <si>
    <t xml:space="preserve">• empresa_codigo, medio, objetivo, actividad y partida deben existir en la hoja Catálogos (listas desplegables).</t>
  </si>
  <si>
    <t xml:space="preserve">• codigo = EMP + AAMM de nacimiento + consecutivo de 3 dígitos (ELE2609-001). Una campaña que sigue el mes siguiente conserva su código.</t>
  </si>
  <si>
    <t xml:space="preserve">• moneda indica en qué está la inversión: GTQ para Guatemala, USD para El Salvador.</t>
  </si>
  <si>
    <t xml:space="preserve">• plan = Principal, Extra (lanzamientos como Altiva) o Arrastre (gasto de una campaña del mes anterior).</t>
  </si>
  <si>
    <t xml:space="preserve">• Columnas con encabezado gris = ayuda calculada; Merk1 las ignora y las vuelve a calcular.</t>
  </si>
  <si>
    <t xml:space="preserve">• Texto azul = dato capturado.</t>
  </si>
  <si>
    <t xml:space="preserve">empresa_codigo</t>
  </si>
  <si>
    <t xml:space="preserve">mes</t>
  </si>
  <si>
    <t xml:space="preserve">tipo_cambio</t>
  </si>
  <si>
    <t xml:space="preserve">ELE</t>
  </si>
  <si>
    <t xml:space="preserve">2026-09</t>
  </si>
  <si>
    <t xml:space="preserve">partida</t>
  </si>
  <si>
    <t xml:space="preserve">saldo_anterior</t>
  </si>
  <si>
    <t xml:space="preserve">presupuesto_mes</t>
  </si>
  <si>
    <t xml:space="preserve">moneda</t>
  </si>
  <si>
    <t xml:space="preserve">Meta FB e IG</t>
  </si>
  <si>
    <t xml:space="preserve">GTQ</t>
  </si>
  <si>
    <t xml:space="preserve">Google</t>
  </si>
  <si>
    <t xml:space="preserve">YouTube</t>
  </si>
  <si>
    <t xml:space="preserve">LinkedIn</t>
  </si>
  <si>
    <t xml:space="preserve">Programatic</t>
  </si>
  <si>
    <t xml:space="preserve">Claro SMS</t>
  </si>
  <si>
    <t xml:space="preserve">Whatsapp Isoft</t>
  </si>
  <si>
    <t xml:space="preserve">Tik Tok</t>
  </si>
  <si>
    <t xml:space="preserve">Leads B2B</t>
  </si>
  <si>
    <t xml:space="preserve">Tráfico a tiendas Geolocalizado</t>
  </si>
  <si>
    <t xml:space="preserve">Mundial</t>
  </si>
  <si>
    <t xml:space="preserve">Extras</t>
  </si>
  <si>
    <t xml:space="preserve">actividad</t>
  </si>
  <si>
    <t xml:space="preserve">fecha_inicio</t>
  </si>
  <si>
    <t xml:space="preserve">fecha_fin</t>
  </si>
  <si>
    <t xml:space="preserve">notas</t>
  </si>
  <si>
    <t xml:space="preserve">Revelación Electro Independencia</t>
  </si>
  <si>
    <t xml:space="preserve">Electro Independencia</t>
  </si>
  <si>
    <t xml:space="preserve">Electro Days</t>
  </si>
  <si>
    <t xml:space="preserve">Promo CC</t>
  </si>
  <si>
    <t xml:space="preserve">Sale Capacitación</t>
  </si>
  <si>
    <t xml:space="preserve">Envío de capacitación</t>
  </si>
  <si>
    <t xml:space="preserve">Capacitación</t>
  </si>
  <si>
    <t xml:space="preserve">kpi</t>
  </si>
  <si>
    <t xml:space="preserve">anio</t>
  </si>
  <si>
    <t xml:space="preserve">valor</t>
  </si>
  <si>
    <t xml:space="preserve">tipo</t>
  </si>
  <si>
    <t xml:space="preserve">Alcance</t>
  </si>
  <si>
    <t xml:space="preserve">Real</t>
  </si>
  <si>
    <t xml:space="preserve">Meta</t>
  </si>
  <si>
    <t xml:space="preserve">MQLs</t>
  </si>
  <si>
    <t xml:space="preserve">Interacción</t>
  </si>
  <si>
    <t xml:space="preserve">Usuarios web</t>
  </si>
  <si>
    <t xml:space="preserve">Las metas 2026 venían vacías en el Excel original: llenarlas en las filas tipo Meta.</t>
  </si>
  <si>
    <t xml:space="preserve">codigo</t>
  </si>
  <si>
    <t xml:space="preserve">plan</t>
  </si>
  <si>
    <t xml:space="preserve">nombre_plan_extra</t>
  </si>
  <si>
    <t xml:space="preserve">fechas_envio</t>
  </si>
  <si>
    <t xml:space="preserve">medio</t>
  </si>
  <si>
    <t xml:space="preserve">objetivo</t>
  </si>
  <si>
    <t xml:space="preserve">inversion</t>
  </si>
  <si>
    <t xml:space="preserve">costo_estimado</t>
  </si>
  <si>
    <t xml:space="preserve">proyectado_manual</t>
  </si>
  <si>
    <t xml:space="preserve">tipo_costo (ayuda)</t>
  </si>
  <si>
    <t xml:space="preserve">nombre_campana (ayuda)</t>
  </si>
  <si>
    <t xml:space="preserve">ELE2609-001</t>
  </si>
  <si>
    <t xml:space="preserve">Principal</t>
  </si>
  <si>
    <t xml:space="preserve">Mantenimiento</t>
  </si>
  <si>
    <t xml:space="preserve">ELE2609-002</t>
  </si>
  <si>
    <t xml:space="preserve">ELE2608-003</t>
  </si>
  <si>
    <t xml:space="preserve">Google Ads</t>
  </si>
  <si>
    <t xml:space="preserve">Search · Clics</t>
  </si>
  <si>
    <t xml:space="preserve">ELE2609-004</t>
  </si>
  <si>
    <t xml:space="preserve">TikTok</t>
  </si>
  <si>
    <t xml:space="preserve">ELE2608-006</t>
  </si>
  <si>
    <t xml:space="preserve">Apoyo CC</t>
  </si>
  <si>
    <t xml:space="preserve">Mensajes WhatsApp</t>
  </si>
  <si>
    <t xml:space="preserve">ELE2609-006</t>
  </si>
  <si>
    <t xml:space="preserve">ELE2609-007</t>
  </si>
  <si>
    <t xml:space="preserve">Alcance geolocalizado</t>
  </si>
  <si>
    <t xml:space="preserve">ELE2609-008</t>
  </si>
  <si>
    <t xml:space="preserve">Alcance / Video view</t>
  </si>
  <si>
    <t xml:space="preserve">ELE2609-009</t>
  </si>
  <si>
    <t xml:space="preserve">Bumper / Instream</t>
  </si>
  <si>
    <t xml:space="preserve">ELE2609-010</t>
  </si>
  <si>
    <t xml:space="preserve">Basis</t>
  </si>
  <si>
    <t xml:space="preserve">Display programático</t>
  </si>
  <si>
    <t xml:space="preserve">ELE2609-011</t>
  </si>
  <si>
    <t xml:space="preserve">Demand Gen · Alcance</t>
  </si>
  <si>
    <t xml:space="preserve">ELE2609-012</t>
  </si>
  <si>
    <t xml:space="preserve">Claro</t>
  </si>
  <si>
    <t xml:space="preserve">SMS geolocalizado</t>
  </si>
  <si>
    <t xml:space="preserve">ELE2609-013</t>
  </si>
  <si>
    <t xml:space="preserve">ELE2609-014</t>
  </si>
  <si>
    <t xml:space="preserve">13 y 17</t>
  </si>
  <si>
    <t xml:space="preserve">iSoft</t>
  </si>
  <si>
    <t xml:space="preserve">WhatsApp masivo</t>
  </si>
  <si>
    <t xml:space="preserve">ELE2609-015</t>
  </si>
  <si>
    <t xml:space="preserve">SMS</t>
  </si>
  <si>
    <t xml:space="preserve">ELE2609-016</t>
  </si>
  <si>
    <t xml:space="preserve">Mailjet</t>
  </si>
  <si>
    <t xml:space="preserve">Mailing</t>
  </si>
  <si>
    <t xml:space="preserve">Sin costo</t>
  </si>
  <si>
    <t xml:space="preserve">ELE2609-017</t>
  </si>
  <si>
    <t xml:space="preserve">Demand Gen · Tráfico</t>
  </si>
  <si>
    <t xml:space="preserve">ELE2609-018</t>
  </si>
  <si>
    <t xml:space="preserve">Tráfico</t>
  </si>
  <si>
    <t xml:space="preserve">ELE2609-019</t>
  </si>
  <si>
    <t xml:space="preserve">Ventas</t>
  </si>
  <si>
    <t xml:space="preserve">ELE2609-020</t>
  </si>
  <si>
    <t xml:space="preserve">ELE2609-021</t>
  </si>
  <si>
    <t xml:space="preserve">20 y 24</t>
  </si>
  <si>
    <t xml:space="preserve">ELE2609-022</t>
  </si>
  <si>
    <t xml:space="preserve">Talento Humano</t>
  </si>
  <si>
    <t xml:space="preserve">ELE2608-023</t>
  </si>
  <si>
    <t xml:space="preserve">Lead Forms</t>
  </si>
  <si>
    <t xml:space="preserve">ELE2609-024</t>
  </si>
  <si>
    <t xml:space="preserve">ELE2609-025</t>
  </si>
  <si>
    <t xml:space="preserve">ELE2608-002</t>
  </si>
  <si>
    <t xml:space="preserve">Arrastre</t>
  </si>
  <si>
    <t xml:space="preserve">empresa_nombre</t>
  </si>
  <si>
    <t xml:space="preserve">medio_fuente</t>
  </si>
  <si>
    <t xml:space="preserve">medio_moneda_gasto</t>
  </si>
  <si>
    <t xml:space="preserve">tipo_costo</t>
  </si>
  <si>
    <t xml:space="preserve">CGT</t>
  </si>
  <si>
    <t xml:space="preserve">Celasa Guatemala</t>
  </si>
  <si>
    <t xml:space="preserve">Porter</t>
  </si>
  <si>
    <t xml:space="preserve">USD</t>
  </si>
  <si>
    <t xml:space="preserve">Por mil</t>
  </si>
  <si>
    <t xml:space="preserve">CSV</t>
  </si>
  <si>
    <t xml:space="preserve">Celasa El Salvador</t>
  </si>
  <si>
    <t xml:space="preserve">Extra</t>
  </si>
  <si>
    <t xml:space="preserve">Electroma</t>
  </si>
  <si>
    <t xml:space="preserve">AME</t>
  </si>
  <si>
    <t xml:space="preserve">American</t>
  </si>
  <si>
    <t xml:space="preserve">LOG</t>
  </si>
  <si>
    <t xml:space="preserve">Logistik</t>
  </si>
  <si>
    <t xml:space="preserve">Display</t>
  </si>
  <si>
    <t xml:space="preserve">Festival de la Iluminación</t>
  </si>
  <si>
    <t xml:space="preserve">Envío Insysa</t>
  </si>
  <si>
    <t xml:space="preserve">Por unidad</t>
  </si>
  <si>
    <t xml:space="preserve">Para agregar un medio, objetivo, actividad o partida nueva, agrégalo al final de su columna.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</si>
</sst>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"/>
    <numFmt numFmtId="167" formatCode="yyyy\-mm\-dd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6" t="n">
        <v>7.85</v>
      </c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9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26</v>
      </c>
      <c r="D2" s="7" t="n">
        <v>7672.46</v>
      </c>
      <c r="E2" s="7" t="n">
        <v>23000</v>
      </c>
      <c r="F2" s="5" t="s">
        <v>27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28</v>
      </c>
      <c r="D3" s="7" t="n">
        <v>-9351.81</v>
      </c>
      <c r="E3" s="7" t="n">
        <v>13268.89</v>
      </c>
      <c r="F3" s="5" t="s">
        <v>27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29</v>
      </c>
      <c r="D4" s="7" t="n">
        <v>-12879.55</v>
      </c>
      <c r="E4" s="7" t="n">
        <v>3922.22</v>
      </c>
      <c r="F4" s="5" t="s">
        <v>27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30</v>
      </c>
      <c r="D5" s="7" t="n">
        <v>7000.62</v>
      </c>
      <c r="E5" s="7" t="n">
        <v>2000</v>
      </c>
      <c r="F5" s="5" t="s">
        <v>27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31</v>
      </c>
      <c r="D6" s="7" t="n">
        <v>-1013.33</v>
      </c>
      <c r="E6" s="7" t="n">
        <v>2285.71</v>
      </c>
      <c r="F6" s="5" t="s">
        <v>27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32</v>
      </c>
      <c r="D7" s="7" t="n">
        <v>-1089.28</v>
      </c>
      <c r="E7" s="7" t="n">
        <v>480</v>
      </c>
      <c r="F7" s="5" t="s">
        <v>27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33</v>
      </c>
      <c r="D8" s="7" t="n">
        <v>-8807.52</v>
      </c>
      <c r="E8" s="7" t="n">
        <v>5000</v>
      </c>
      <c r="F8" s="5" t="s">
        <v>27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34</v>
      </c>
      <c r="D9" s="7" t="n">
        <v>8846.2</v>
      </c>
      <c r="E9" s="7" t="n">
        <v>3973.33</v>
      </c>
      <c r="F9" s="5" t="s">
        <v>27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35</v>
      </c>
      <c r="D10" s="7" t="n">
        <v>9566.46</v>
      </c>
      <c r="E10" s="7" t="n">
        <v>3571.43</v>
      </c>
      <c r="F10" s="5" t="s">
        <v>27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36</v>
      </c>
      <c r="D11" s="7" t="n">
        <v>3789.33</v>
      </c>
      <c r="E11" s="7" t="n">
        <v>3571.43</v>
      </c>
      <c r="F11" s="5" t="s">
        <v>27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37</v>
      </c>
      <c r="D12" s="7" t="n">
        <v>-4057.26</v>
      </c>
      <c r="E12" s="7" t="n">
        <v>0</v>
      </c>
      <c r="F12" s="5" t="s">
        <v>27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38</v>
      </c>
      <c r="D13" s="7" t="n">
        <v>0</v>
      </c>
      <c r="E13" s="7" t="n">
        <v>0</v>
      </c>
      <c r="F13" s="5" t="s">
        <v>27</v>
      </c>
    </row>
  </sheetData>
  <dataValidations count="3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C2:C500" type="list">
      <formula1>Catálogos!$I$2:$I$60</formula1>
      <formula2>0</formula2>
    </dataValidation>
    <dataValidation allowBlank="true" errorStyle="stop" operator="between" showDropDown="false" showErrorMessage="false" showInputMessage="false" sqref="F2:F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43</v>
      </c>
      <c r="D2" s="8" t="n">
        <v>46275</v>
      </c>
      <c r="E2" s="8" t="n">
        <v>46275</v>
      </c>
      <c r="F2" s="5"/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35</v>
      </c>
      <c r="D3" s="8" t="n">
        <v>46280</v>
      </c>
      <c r="E3" s="8" t="n">
        <v>46295</v>
      </c>
      <c r="F3" s="5"/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44</v>
      </c>
      <c r="D4" s="8" t="n">
        <v>46281</v>
      </c>
      <c r="E4" s="8" t="n">
        <v>46284</v>
      </c>
      <c r="F4" s="5"/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45</v>
      </c>
      <c r="D5" s="8" t="n">
        <v>46285</v>
      </c>
      <c r="E5" s="8" t="n">
        <v>46291</v>
      </c>
      <c r="F5" s="5"/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46</v>
      </c>
      <c r="D6" s="8" t="n">
        <v>46286</v>
      </c>
      <c r="E6" s="8" t="n">
        <v>46291</v>
      </c>
      <c r="F6" s="5"/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47</v>
      </c>
      <c r="D7" s="8" t="n">
        <v>46288</v>
      </c>
      <c r="E7" s="8" t="n">
        <v>46288</v>
      </c>
      <c r="F7" s="5"/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48</v>
      </c>
      <c r="D8" s="8" t="n">
        <v>46294</v>
      </c>
      <c r="E8" s="8" t="n">
        <v>46294</v>
      </c>
      <c r="F8" s="5"/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49</v>
      </c>
      <c r="D9" s="8" t="n">
        <v>46294</v>
      </c>
      <c r="E9" s="8" t="n">
        <v>46294</v>
      </c>
      <c r="F9" s="5"/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50</v>
      </c>
      <c r="D1" s="4" t="s">
        <v>51</v>
      </c>
      <c r="E1" s="4" t="s">
        <v>52</v>
      </c>
      <c r="F1" s="4" t="s">
        <v>53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54</v>
      </c>
      <c r="D2" s="5" t="n">
        <v>2024</v>
      </c>
      <c r="E2" s="9" t="n">
        <v>5136036</v>
      </c>
      <c r="F2" s="5" t="s">
        <v>55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54</v>
      </c>
      <c r="D3" s="5" t="n">
        <v>2025</v>
      </c>
      <c r="E3" s="9" t="n">
        <v>8773997</v>
      </c>
      <c r="F3" s="5" t="s">
        <v>55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54</v>
      </c>
      <c r="D4" s="5" t="n">
        <v>2026</v>
      </c>
      <c r="E4" s="9"/>
      <c r="F4" s="5" t="s">
        <v>56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57</v>
      </c>
      <c r="D5" s="5" t="n">
        <v>2024</v>
      </c>
      <c r="E5" s="9" t="n">
        <v>5958</v>
      </c>
      <c r="F5" s="5" t="s">
        <v>55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57</v>
      </c>
      <c r="D6" s="5" t="n">
        <v>2025</v>
      </c>
      <c r="E6" s="9" t="n">
        <v>15335</v>
      </c>
      <c r="F6" s="5" t="s">
        <v>55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57</v>
      </c>
      <c r="D7" s="5" t="n">
        <v>2026</v>
      </c>
      <c r="E7" s="9"/>
      <c r="F7" s="5" t="s">
        <v>56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58</v>
      </c>
      <c r="D8" s="5" t="n">
        <v>2024</v>
      </c>
      <c r="E8" s="9" t="n">
        <v>215696</v>
      </c>
      <c r="F8" s="5" t="s">
        <v>55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58</v>
      </c>
      <c r="D9" s="5" t="n">
        <v>2025</v>
      </c>
      <c r="E9" s="9" t="n">
        <v>259094</v>
      </c>
      <c r="F9" s="5" t="s">
        <v>55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58</v>
      </c>
      <c r="D10" s="5" t="n">
        <v>2026</v>
      </c>
      <c r="E10" s="9"/>
      <c r="F10" s="5" t="s">
        <v>56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59</v>
      </c>
      <c r="D11" s="5" t="n">
        <v>2024</v>
      </c>
      <c r="E11" s="9" t="n">
        <v>59879</v>
      </c>
      <c r="F11" s="5" t="s">
        <v>55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59</v>
      </c>
      <c r="D12" s="5" t="n">
        <v>2025</v>
      </c>
      <c r="E12" s="9" t="n">
        <v>96062</v>
      </c>
      <c r="F12" s="5" t="s">
        <v>55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59</v>
      </c>
      <c r="D13" s="5" t="n">
        <v>2026</v>
      </c>
      <c r="E13" s="9"/>
      <c r="F13" s="5" t="s">
        <v>56</v>
      </c>
    </row>
    <row r="15" customFormat="false" ht="15" hidden="false" customHeight="false" outlineLevel="0" collapsed="false">
      <c r="A15" s="10" t="s">
        <v>60</v>
      </c>
    </row>
  </sheetData>
  <dataValidations count="2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F2:F500" type="list">
      <formula1>"Real,Meta"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7" min="15" style="0" width="13"/>
    <col collapsed="false" customWidth="true" hidden="false" outlineLevel="0" max="18" min="18" style="0" width="62"/>
  </cols>
  <sheetData>
    <row r="1" customFormat="false" ht="30" hidden="false" customHeight="true" outlineLevel="0" collapsed="false">
      <c r="A1" s="4" t="s">
        <v>61</v>
      </c>
      <c r="B1" s="4" t="s">
        <v>17</v>
      </c>
      <c r="C1" s="4" t="s">
        <v>18</v>
      </c>
      <c r="D1" s="4" t="s">
        <v>62</v>
      </c>
      <c r="E1" s="4" t="s">
        <v>63</v>
      </c>
      <c r="F1" s="4" t="s">
        <v>39</v>
      </c>
      <c r="G1" s="4" t="s">
        <v>40</v>
      </c>
      <c r="H1" s="4" t="s">
        <v>41</v>
      </c>
      <c r="I1" s="4" t="s">
        <v>64</v>
      </c>
      <c r="J1" s="4" t="s">
        <v>65</v>
      </c>
      <c r="K1" s="4" t="s">
        <v>66</v>
      </c>
      <c r="L1" s="4" t="s">
        <v>22</v>
      </c>
      <c r="M1" s="4" t="s">
        <v>67</v>
      </c>
      <c r="N1" s="4" t="s">
        <v>25</v>
      </c>
      <c r="O1" s="4" t="s">
        <v>68</v>
      </c>
      <c r="P1" s="4" t="s">
        <v>69</v>
      </c>
      <c r="Q1" s="11" t="s">
        <v>70</v>
      </c>
      <c r="R1" s="11" t="s">
        <v>71</v>
      </c>
    </row>
    <row r="2" customFormat="false" ht="15" hidden="false" customHeight="false" outlineLevel="0" collapsed="false">
      <c r="A2" s="5" t="s">
        <v>72</v>
      </c>
      <c r="B2" s="5" t="s">
        <v>20</v>
      </c>
      <c r="C2" s="5" t="s">
        <v>21</v>
      </c>
      <c r="D2" s="5" t="s">
        <v>73</v>
      </c>
      <c r="E2" s="5"/>
      <c r="F2" s="5" t="s">
        <v>74</v>
      </c>
      <c r="G2" s="8" t="n">
        <v>46266</v>
      </c>
      <c r="H2" s="8" t="n">
        <v>46295</v>
      </c>
      <c r="I2" s="5"/>
      <c r="J2" s="5" t="s">
        <v>56</v>
      </c>
      <c r="K2" s="5" t="s">
        <v>54</v>
      </c>
      <c r="L2" s="5" t="s">
        <v>26</v>
      </c>
      <c r="M2" s="7" t="n">
        <v>2000</v>
      </c>
      <c r="N2" s="5" t="s">
        <v>27</v>
      </c>
      <c r="O2" s="12" t="n">
        <v>2.85</v>
      </c>
      <c r="P2" s="9"/>
      <c r="Q2" s="13" t="str">
        <f aca="false">IFERROR(VLOOKUP(K2,Catálogos!$F:$G,2,FALSE()),"Revisar objetivo")</f>
        <v>Por mil</v>
      </c>
      <c r="R2" s="13" t="str">
        <f aca="false">A2&amp;" | "&amp;F2&amp;" | "&amp;J2&amp;" | "&amp;K2</f>
        <v>ELE2609-001 | Mantenimiento | Meta | Alcance</v>
      </c>
    </row>
    <row r="3" customFormat="false" ht="15" hidden="false" customHeight="false" outlineLevel="0" collapsed="false">
      <c r="A3" s="5" t="s">
        <v>75</v>
      </c>
      <c r="B3" s="5" t="s">
        <v>20</v>
      </c>
      <c r="C3" s="5" t="s">
        <v>21</v>
      </c>
      <c r="D3" s="5" t="s">
        <v>73</v>
      </c>
      <c r="E3" s="5"/>
      <c r="F3" s="5" t="s">
        <v>74</v>
      </c>
      <c r="G3" s="8" t="n">
        <v>46266</v>
      </c>
      <c r="H3" s="8" t="n">
        <v>46295</v>
      </c>
      <c r="I3" s="5"/>
      <c r="J3" s="5" t="s">
        <v>56</v>
      </c>
      <c r="K3" s="5" t="s">
        <v>58</v>
      </c>
      <c r="L3" s="5" t="s">
        <v>26</v>
      </c>
      <c r="M3" s="7" t="n">
        <v>2715</v>
      </c>
      <c r="N3" s="5" t="s">
        <v>27</v>
      </c>
      <c r="O3" s="12" t="n">
        <v>0.3</v>
      </c>
      <c r="P3" s="9"/>
      <c r="Q3" s="13" t="str">
        <f aca="false">IFERROR(VLOOKUP(K3,Catálogos!$F:$G,2,FALSE()),"Revisar objetivo")</f>
        <v>Por unidad</v>
      </c>
      <c r="R3" s="13" t="str">
        <f aca="false">A3&amp;" | "&amp;F3&amp;" | "&amp;J3&amp;" | "&amp;K3</f>
        <v>ELE2609-002 | Mantenimiento | Meta | Interacción</v>
      </c>
    </row>
    <row r="4" customFormat="false" ht="15" hidden="false" customHeight="false" outlineLevel="0" collapsed="false">
      <c r="A4" s="5" t="s">
        <v>76</v>
      </c>
      <c r="B4" s="5" t="s">
        <v>20</v>
      </c>
      <c r="C4" s="5" t="s">
        <v>21</v>
      </c>
      <c r="D4" s="5" t="s">
        <v>73</v>
      </c>
      <c r="E4" s="5"/>
      <c r="F4" s="5" t="s">
        <v>74</v>
      </c>
      <c r="G4" s="8" t="n">
        <v>46266</v>
      </c>
      <c r="H4" s="8" t="n">
        <v>46295</v>
      </c>
      <c r="I4" s="5"/>
      <c r="J4" s="5" t="s">
        <v>77</v>
      </c>
      <c r="K4" s="5" t="s">
        <v>78</v>
      </c>
      <c r="L4" s="5" t="s">
        <v>28</v>
      </c>
      <c r="M4" s="7" t="n">
        <v>3500</v>
      </c>
      <c r="N4" s="5" t="s">
        <v>27</v>
      </c>
      <c r="O4" s="12" t="n">
        <v>0.65</v>
      </c>
      <c r="P4" s="9"/>
      <c r="Q4" s="13" t="str">
        <f aca="false">IFERROR(VLOOKUP(K4,Catálogos!$F:$G,2,FALSE()),"Revisar objetivo")</f>
        <v>Por unidad</v>
      </c>
      <c r="R4" s="13" t="str">
        <f aca="false">A4&amp;" | "&amp;F4&amp;" | "&amp;J4&amp;" | "&amp;K4</f>
        <v>ELE2608-003 | Mantenimiento | Google Ads | Search · Clics</v>
      </c>
    </row>
    <row r="5" customFormat="false" ht="15" hidden="false" customHeight="false" outlineLevel="0" collapsed="false">
      <c r="A5" s="5" t="s">
        <v>79</v>
      </c>
      <c r="B5" s="5" t="s">
        <v>20</v>
      </c>
      <c r="C5" s="5" t="s">
        <v>21</v>
      </c>
      <c r="D5" s="5" t="s">
        <v>73</v>
      </c>
      <c r="E5" s="5"/>
      <c r="F5" s="5" t="s">
        <v>74</v>
      </c>
      <c r="G5" s="8" t="n">
        <v>46266</v>
      </c>
      <c r="H5" s="8" t="n">
        <v>46295</v>
      </c>
      <c r="I5" s="5"/>
      <c r="J5" s="5" t="s">
        <v>80</v>
      </c>
      <c r="K5" s="5" t="s">
        <v>54</v>
      </c>
      <c r="L5" s="5" t="s">
        <v>34</v>
      </c>
      <c r="M5" s="7" t="n">
        <v>2000</v>
      </c>
      <c r="N5" s="5" t="s">
        <v>27</v>
      </c>
      <c r="O5" s="12" t="n">
        <v>2.4</v>
      </c>
      <c r="P5" s="9"/>
      <c r="Q5" s="13" t="str">
        <f aca="false">IFERROR(VLOOKUP(K5,Catálogos!$F:$G,2,FALSE()),"Revisar objetivo")</f>
        <v>Por mil</v>
      </c>
      <c r="R5" s="13" t="str">
        <f aca="false">A5&amp;" | "&amp;F5&amp;" | "&amp;J5&amp;" | "&amp;K5</f>
        <v>ELE2609-004 | Mantenimiento | TikTok | Alcance</v>
      </c>
    </row>
    <row r="6" customFormat="false" ht="15" hidden="false" customHeight="false" outlineLevel="0" collapsed="false">
      <c r="A6" s="5" t="s">
        <v>81</v>
      </c>
      <c r="B6" s="5" t="s">
        <v>20</v>
      </c>
      <c r="C6" s="5" t="s">
        <v>21</v>
      </c>
      <c r="D6" s="5" t="s">
        <v>73</v>
      </c>
      <c r="E6" s="5"/>
      <c r="F6" s="5" t="s">
        <v>82</v>
      </c>
      <c r="G6" s="8" t="n">
        <v>46266</v>
      </c>
      <c r="H6" s="8" t="n">
        <v>46295</v>
      </c>
      <c r="I6" s="5"/>
      <c r="J6" s="5" t="s">
        <v>56</v>
      </c>
      <c r="K6" s="5" t="s">
        <v>83</v>
      </c>
      <c r="L6" s="5" t="s">
        <v>26</v>
      </c>
      <c r="M6" s="7" t="n">
        <v>3500</v>
      </c>
      <c r="N6" s="5" t="s">
        <v>27</v>
      </c>
      <c r="O6" s="12" t="n">
        <v>2.4</v>
      </c>
      <c r="P6" s="9"/>
      <c r="Q6" s="13" t="str">
        <f aca="false">IFERROR(VLOOKUP(K6,Catálogos!$F:$G,2,FALSE()),"Revisar objetivo")</f>
        <v>Por unidad</v>
      </c>
      <c r="R6" s="13" t="str">
        <f aca="false">A6&amp;" | "&amp;F6&amp;" | "&amp;J6&amp;" | "&amp;K6</f>
        <v>ELE2608-006 | Apoyo CC | Meta | Mensajes WhatsApp</v>
      </c>
    </row>
    <row r="7" customFormat="false" ht="15" hidden="false" customHeight="false" outlineLevel="0" collapsed="false">
      <c r="A7" s="5" t="s">
        <v>84</v>
      </c>
      <c r="B7" s="5" t="s">
        <v>20</v>
      </c>
      <c r="C7" s="5" t="s">
        <v>21</v>
      </c>
      <c r="D7" s="5" t="s">
        <v>73</v>
      </c>
      <c r="E7" s="5"/>
      <c r="F7" s="5" t="s">
        <v>46</v>
      </c>
      <c r="G7" s="8" t="n">
        <v>46286</v>
      </c>
      <c r="H7" s="8" t="n">
        <v>46291</v>
      </c>
      <c r="I7" s="5"/>
      <c r="J7" s="5" t="s">
        <v>56</v>
      </c>
      <c r="K7" s="5" t="s">
        <v>83</v>
      </c>
      <c r="L7" s="5" t="s">
        <v>26</v>
      </c>
      <c r="M7" s="7" t="n">
        <v>2000.02</v>
      </c>
      <c r="N7" s="5" t="s">
        <v>27</v>
      </c>
      <c r="O7" s="12" t="n">
        <v>4</v>
      </c>
      <c r="P7" s="9"/>
      <c r="Q7" s="13" t="str">
        <f aca="false">IFERROR(VLOOKUP(K7,Catálogos!$F:$G,2,FALSE()),"Revisar objetivo")</f>
        <v>Por unidad</v>
      </c>
      <c r="R7" s="13" t="str">
        <f aca="false">A7&amp;" | "&amp;F7&amp;" | "&amp;J7&amp;" | "&amp;K7</f>
        <v>ELE2609-006 | Promo CC | Meta | Mensajes WhatsApp</v>
      </c>
    </row>
    <row r="8" customFormat="false" ht="15" hidden="false" customHeight="false" outlineLevel="0" collapsed="false">
      <c r="A8" s="5" t="s">
        <v>85</v>
      </c>
      <c r="B8" s="5" t="s">
        <v>20</v>
      </c>
      <c r="C8" s="5" t="s">
        <v>21</v>
      </c>
      <c r="D8" s="5" t="s">
        <v>73</v>
      </c>
      <c r="E8" s="5"/>
      <c r="F8" s="5" t="s">
        <v>44</v>
      </c>
      <c r="G8" s="8" t="n">
        <v>46275</v>
      </c>
      <c r="H8" s="8" t="n">
        <v>46284</v>
      </c>
      <c r="I8" s="5"/>
      <c r="J8" s="5" t="s">
        <v>56</v>
      </c>
      <c r="K8" s="5" t="s">
        <v>86</v>
      </c>
      <c r="L8" s="5" t="s">
        <v>26</v>
      </c>
      <c r="M8" s="7" t="n">
        <v>12000</v>
      </c>
      <c r="N8" s="5" t="s">
        <v>27</v>
      </c>
      <c r="O8" s="12" t="n">
        <v>3.9</v>
      </c>
      <c r="P8" s="9"/>
      <c r="Q8" s="13" t="str">
        <f aca="false">IFERROR(VLOOKUP(K8,Catálogos!$F:$G,2,FALSE()),"Revisar objetivo")</f>
        <v>Por mil</v>
      </c>
      <c r="R8" s="13" t="str">
        <f aca="false">A8&amp;" | "&amp;F8&amp;" | "&amp;J8&amp;" | "&amp;K8</f>
        <v>ELE2609-007 | Electro Independencia | Meta | Alcance geolocalizado</v>
      </c>
    </row>
    <row r="9" customFormat="false" ht="15" hidden="false" customHeight="false" outlineLevel="0" collapsed="false">
      <c r="A9" s="5" t="s">
        <v>87</v>
      </c>
      <c r="B9" s="5" t="s">
        <v>20</v>
      </c>
      <c r="C9" s="5" t="s">
        <v>21</v>
      </c>
      <c r="D9" s="5" t="s">
        <v>73</v>
      </c>
      <c r="E9" s="5"/>
      <c r="F9" s="5" t="s">
        <v>44</v>
      </c>
      <c r="G9" s="8" t="n">
        <v>46278</v>
      </c>
      <c r="H9" s="8" t="n">
        <v>46284</v>
      </c>
      <c r="I9" s="5"/>
      <c r="J9" s="5" t="s">
        <v>80</v>
      </c>
      <c r="K9" s="5" t="s">
        <v>88</v>
      </c>
      <c r="L9" s="5" t="s">
        <v>34</v>
      </c>
      <c r="M9" s="7" t="n">
        <v>6454.18</v>
      </c>
      <c r="N9" s="5" t="s">
        <v>27</v>
      </c>
      <c r="O9" s="12" t="n">
        <v>2.4</v>
      </c>
      <c r="P9" s="9"/>
      <c r="Q9" s="13" t="str">
        <f aca="false">IFERROR(VLOOKUP(K9,Catálogos!$F:$G,2,FALSE()),"Revisar objetivo")</f>
        <v>Por mil</v>
      </c>
      <c r="R9" s="13" t="str">
        <f aca="false">A9&amp;" | "&amp;F9&amp;" | "&amp;J9&amp;" | "&amp;K9</f>
        <v>ELE2609-008 | Electro Independencia | TikTok | Alcance / Video view</v>
      </c>
    </row>
    <row r="10" customFormat="false" ht="15" hidden="false" customHeight="false" outlineLevel="0" collapsed="false">
      <c r="A10" s="5" t="s">
        <v>89</v>
      </c>
      <c r="B10" s="5" t="s">
        <v>20</v>
      </c>
      <c r="C10" s="5" t="s">
        <v>21</v>
      </c>
      <c r="D10" s="5" t="s">
        <v>73</v>
      </c>
      <c r="E10" s="5"/>
      <c r="F10" s="5" t="s">
        <v>44</v>
      </c>
      <c r="G10" s="8" t="n">
        <v>46278</v>
      </c>
      <c r="H10" s="8" t="n">
        <v>46284</v>
      </c>
      <c r="I10" s="5"/>
      <c r="J10" s="5" t="s">
        <v>29</v>
      </c>
      <c r="K10" s="5" t="s">
        <v>90</v>
      </c>
      <c r="L10" s="5" t="s">
        <v>29</v>
      </c>
      <c r="M10" s="7" t="n">
        <v>5000</v>
      </c>
      <c r="N10" s="5" t="s">
        <v>27</v>
      </c>
      <c r="O10" s="12" t="n">
        <v>3.5</v>
      </c>
      <c r="P10" s="9"/>
      <c r="Q10" s="13" t="str">
        <f aca="false">IFERROR(VLOOKUP(K10,Catálogos!$F:$G,2,FALSE()),"Revisar objetivo")</f>
        <v>Por mil</v>
      </c>
      <c r="R10" s="13" t="str">
        <f aca="false">A10&amp;" | "&amp;F10&amp;" | "&amp;J10&amp;" | "&amp;K10</f>
        <v>ELE2609-009 | Electro Independencia | YouTube | Bumper / Instream</v>
      </c>
    </row>
    <row r="11" customFormat="false" ht="15" hidden="false" customHeight="false" outlineLevel="0" collapsed="false">
      <c r="A11" s="5" t="s">
        <v>91</v>
      </c>
      <c r="B11" s="5" t="s">
        <v>20</v>
      </c>
      <c r="C11" s="5" t="s">
        <v>21</v>
      </c>
      <c r="D11" s="5" t="s">
        <v>73</v>
      </c>
      <c r="E11" s="5"/>
      <c r="F11" s="5" t="s">
        <v>44</v>
      </c>
      <c r="G11" s="8" t="n">
        <v>46278</v>
      </c>
      <c r="H11" s="8" t="n">
        <v>46284</v>
      </c>
      <c r="I11" s="5"/>
      <c r="J11" s="5" t="s">
        <v>92</v>
      </c>
      <c r="K11" s="5" t="s">
        <v>93</v>
      </c>
      <c r="L11" s="5" t="s">
        <v>31</v>
      </c>
      <c r="M11" s="7" t="n">
        <v>4300</v>
      </c>
      <c r="N11" s="5" t="s">
        <v>27</v>
      </c>
      <c r="O11" s="12" t="n">
        <v>6.19</v>
      </c>
      <c r="P11" s="9"/>
      <c r="Q11" s="13" t="str">
        <f aca="false">IFERROR(VLOOKUP(K11,Catálogos!$F:$G,2,FALSE()),"Revisar objetivo")</f>
        <v>Por mil</v>
      </c>
      <c r="R11" s="13" t="str">
        <f aca="false">A11&amp;" | "&amp;F11&amp;" | "&amp;J11&amp;" | "&amp;K11</f>
        <v>ELE2609-010 | Electro Independencia | Basis | Display programático</v>
      </c>
    </row>
    <row r="12" customFormat="false" ht="15" hidden="false" customHeight="false" outlineLevel="0" collapsed="false">
      <c r="A12" s="5" t="s">
        <v>94</v>
      </c>
      <c r="B12" s="5" t="s">
        <v>20</v>
      </c>
      <c r="C12" s="5" t="s">
        <v>21</v>
      </c>
      <c r="D12" s="5" t="s">
        <v>73</v>
      </c>
      <c r="E12" s="5"/>
      <c r="F12" s="5" t="s">
        <v>44</v>
      </c>
      <c r="G12" s="8" t="n">
        <v>46278</v>
      </c>
      <c r="H12" s="8" t="n">
        <v>46284</v>
      </c>
      <c r="I12" s="5"/>
      <c r="J12" s="5" t="s">
        <v>77</v>
      </c>
      <c r="K12" s="5" t="s">
        <v>95</v>
      </c>
      <c r="L12" s="5" t="s">
        <v>28</v>
      </c>
      <c r="M12" s="7" t="n">
        <v>2756.61</v>
      </c>
      <c r="N12" s="5" t="s">
        <v>27</v>
      </c>
      <c r="O12" s="12" t="n">
        <v>7.82</v>
      </c>
      <c r="P12" s="9"/>
      <c r="Q12" s="13" t="str">
        <f aca="false">IFERROR(VLOOKUP(K12,Catálogos!$F:$G,2,FALSE()),"Revisar objetivo")</f>
        <v>Por mil</v>
      </c>
      <c r="R12" s="13" t="str">
        <f aca="false">A12&amp;" | "&amp;F12&amp;" | "&amp;J12&amp;" | "&amp;K12</f>
        <v>ELE2609-011 | Electro Independencia | Google Ads | Demand Gen · Alcance</v>
      </c>
    </row>
    <row r="13" customFormat="false" ht="15" hidden="false" customHeight="false" outlineLevel="0" collapsed="false">
      <c r="A13" s="5" t="s">
        <v>96</v>
      </c>
      <c r="B13" s="5" t="s">
        <v>20</v>
      </c>
      <c r="C13" s="5" t="s">
        <v>21</v>
      </c>
      <c r="D13" s="5" t="s">
        <v>73</v>
      </c>
      <c r="E13" s="5"/>
      <c r="F13" s="5" t="s">
        <v>44</v>
      </c>
      <c r="G13" s="8" t="n">
        <v>46280</v>
      </c>
      <c r="H13" s="8" t="n">
        <v>46280</v>
      </c>
      <c r="I13" s="5"/>
      <c r="J13" s="5" t="s">
        <v>97</v>
      </c>
      <c r="K13" s="5" t="s">
        <v>98</v>
      </c>
      <c r="L13" s="5" t="s">
        <v>31</v>
      </c>
      <c r="M13" s="7" t="n">
        <v>1000</v>
      </c>
      <c r="N13" s="5" t="s">
        <v>27</v>
      </c>
      <c r="O13" s="12" t="n">
        <v>77</v>
      </c>
      <c r="P13" s="9"/>
      <c r="Q13" s="13" t="str">
        <f aca="false">IFERROR(VLOOKUP(K13,Catálogos!$F:$G,2,FALSE()),"Revisar objetivo")</f>
        <v>Por mil</v>
      </c>
      <c r="R13" s="13" t="str">
        <f aca="false">A13&amp;" | "&amp;F13&amp;" | "&amp;J13&amp;" | "&amp;K13</f>
        <v>ELE2609-012 | Electro Independencia | Claro | SMS geolocalizado</v>
      </c>
    </row>
    <row r="14" customFormat="false" ht="15" hidden="false" customHeight="false" outlineLevel="0" collapsed="false">
      <c r="A14" s="5" t="s">
        <v>99</v>
      </c>
      <c r="B14" s="5" t="s">
        <v>20</v>
      </c>
      <c r="C14" s="5" t="s">
        <v>21</v>
      </c>
      <c r="D14" s="5" t="s">
        <v>73</v>
      </c>
      <c r="E14" s="5"/>
      <c r="F14" s="5" t="s">
        <v>44</v>
      </c>
      <c r="G14" s="8" t="n">
        <v>46282</v>
      </c>
      <c r="H14" s="8" t="n">
        <v>46282</v>
      </c>
      <c r="I14" s="5"/>
      <c r="J14" s="5" t="s">
        <v>97</v>
      </c>
      <c r="K14" s="5" t="s">
        <v>98</v>
      </c>
      <c r="L14" s="5" t="s">
        <v>31</v>
      </c>
      <c r="M14" s="7" t="n">
        <v>1000</v>
      </c>
      <c r="N14" s="5" t="s">
        <v>27</v>
      </c>
      <c r="O14" s="12" t="n">
        <v>77</v>
      </c>
      <c r="P14" s="9"/>
      <c r="Q14" s="13" t="str">
        <f aca="false">IFERROR(VLOOKUP(K14,Catálogos!$F:$G,2,FALSE()),"Revisar objetivo")</f>
        <v>Por mil</v>
      </c>
      <c r="R14" s="13" t="str">
        <f aca="false">A14&amp;" | "&amp;F14&amp;" | "&amp;J14&amp;" | "&amp;K14</f>
        <v>ELE2609-013 | Electro Independencia | Claro | SMS geolocalizado</v>
      </c>
    </row>
    <row r="15" customFormat="false" ht="15" hidden="false" customHeight="false" outlineLevel="0" collapsed="false">
      <c r="A15" s="5" t="s">
        <v>100</v>
      </c>
      <c r="B15" s="5" t="s">
        <v>20</v>
      </c>
      <c r="C15" s="5" t="s">
        <v>21</v>
      </c>
      <c r="D15" s="5" t="s">
        <v>73</v>
      </c>
      <c r="E15" s="5"/>
      <c r="F15" s="5" t="s">
        <v>44</v>
      </c>
      <c r="G15" s="8" t="n">
        <v>46278</v>
      </c>
      <c r="H15" s="8" t="n">
        <v>46282</v>
      </c>
      <c r="I15" s="5" t="s">
        <v>101</v>
      </c>
      <c r="J15" s="5" t="s">
        <v>102</v>
      </c>
      <c r="K15" s="5" t="s">
        <v>103</v>
      </c>
      <c r="L15" s="5" t="s">
        <v>33</v>
      </c>
      <c r="M15" s="7" t="n">
        <v>2800</v>
      </c>
      <c r="N15" s="5" t="s">
        <v>27</v>
      </c>
      <c r="O15" s="12" t="n">
        <v>0.71</v>
      </c>
      <c r="P15" s="9"/>
      <c r="Q15" s="13" t="str">
        <f aca="false">IFERROR(VLOOKUP(K15,Catálogos!$F:$G,2,FALSE()),"Revisar objetivo")</f>
        <v>Por unidad</v>
      </c>
      <c r="R15" s="13" t="str">
        <f aca="false">A15&amp;" | "&amp;F15&amp;" | "&amp;J15&amp;" | "&amp;K15</f>
        <v>ELE2609-014 | Electro Independencia | iSoft | WhatsApp masivo</v>
      </c>
    </row>
    <row r="16" customFormat="false" ht="15" hidden="false" customHeight="false" outlineLevel="0" collapsed="false">
      <c r="A16" s="5" t="s">
        <v>104</v>
      </c>
      <c r="B16" s="5" t="s">
        <v>20</v>
      </c>
      <c r="C16" s="5" t="s">
        <v>21</v>
      </c>
      <c r="D16" s="5" t="s">
        <v>73</v>
      </c>
      <c r="E16" s="5"/>
      <c r="F16" s="5" t="s">
        <v>44</v>
      </c>
      <c r="G16" s="8" t="n">
        <v>46278</v>
      </c>
      <c r="H16" s="8" t="n">
        <v>46278</v>
      </c>
      <c r="I16" s="5"/>
      <c r="J16" s="5" t="s">
        <v>97</v>
      </c>
      <c r="K16" s="5" t="s">
        <v>105</v>
      </c>
      <c r="L16" s="5" t="s">
        <v>32</v>
      </c>
      <c r="M16" s="7" t="n">
        <v>1600</v>
      </c>
      <c r="N16" s="5" t="s">
        <v>27</v>
      </c>
      <c r="O16" s="12" t="n">
        <v>0.32</v>
      </c>
      <c r="P16" s="9"/>
      <c r="Q16" s="13" t="str">
        <f aca="false">IFERROR(VLOOKUP(K16,Catálogos!$F:$G,2,FALSE()),"Revisar objetivo")</f>
        <v>Por unidad</v>
      </c>
      <c r="R16" s="13" t="str">
        <f aca="false">A16&amp;" | "&amp;F16&amp;" | "&amp;J16&amp;" | "&amp;K16</f>
        <v>ELE2609-015 | Electro Independencia | Claro | SMS</v>
      </c>
    </row>
    <row r="17" customFormat="false" ht="15" hidden="false" customHeight="false" outlineLevel="0" collapsed="false">
      <c r="A17" s="5" t="s">
        <v>106</v>
      </c>
      <c r="B17" s="5" t="s">
        <v>20</v>
      </c>
      <c r="C17" s="5" t="s">
        <v>21</v>
      </c>
      <c r="D17" s="5" t="s">
        <v>73</v>
      </c>
      <c r="E17" s="5"/>
      <c r="F17" s="5" t="s">
        <v>44</v>
      </c>
      <c r="G17" s="8" t="n">
        <v>46278</v>
      </c>
      <c r="H17" s="8" t="n">
        <v>46282</v>
      </c>
      <c r="I17" s="5" t="s">
        <v>101</v>
      </c>
      <c r="J17" s="5" t="s">
        <v>107</v>
      </c>
      <c r="K17" s="5" t="s">
        <v>108</v>
      </c>
      <c r="L17" s="5" t="s">
        <v>109</v>
      </c>
      <c r="M17" s="7" t="n">
        <v>0</v>
      </c>
      <c r="N17" s="5" t="s">
        <v>27</v>
      </c>
      <c r="O17" s="12" t="n">
        <v>0</v>
      </c>
      <c r="P17" s="9" t="n">
        <v>4500</v>
      </c>
      <c r="Q17" s="13" t="str">
        <f aca="false">IFERROR(VLOOKUP(K17,Catálogos!$F:$G,2,FALSE()),"Revisar objetivo")</f>
        <v>Sin costo</v>
      </c>
      <c r="R17" s="13" t="str">
        <f aca="false">A17&amp;" | "&amp;F17&amp;" | "&amp;J17&amp;" | "&amp;K17</f>
        <v>ELE2609-016 | Electro Independencia | Mailjet | Mailing</v>
      </c>
    </row>
    <row r="18" customFormat="false" ht="15" hidden="false" customHeight="false" outlineLevel="0" collapsed="false">
      <c r="A18" s="5" t="s">
        <v>110</v>
      </c>
      <c r="B18" s="5" t="s">
        <v>20</v>
      </c>
      <c r="C18" s="5" t="s">
        <v>21</v>
      </c>
      <c r="D18" s="5" t="s">
        <v>73</v>
      </c>
      <c r="E18" s="5"/>
      <c r="F18" s="5" t="s">
        <v>45</v>
      </c>
      <c r="G18" s="8" t="n">
        <v>46285</v>
      </c>
      <c r="H18" s="8" t="n">
        <v>46291</v>
      </c>
      <c r="I18" s="5"/>
      <c r="J18" s="5" t="s">
        <v>77</v>
      </c>
      <c r="K18" s="5" t="s">
        <v>111</v>
      </c>
      <c r="L18" s="5" t="s">
        <v>28</v>
      </c>
      <c r="M18" s="7" t="n">
        <v>3000</v>
      </c>
      <c r="N18" s="5" t="s">
        <v>27</v>
      </c>
      <c r="O18" s="12" t="n">
        <v>0.035</v>
      </c>
      <c r="P18" s="9"/>
      <c r="Q18" s="13" t="str">
        <f aca="false">IFERROR(VLOOKUP(K18,Catálogos!$F:$G,2,FALSE()),"Revisar objetivo")</f>
        <v>Por unidad</v>
      </c>
      <c r="R18" s="13" t="str">
        <f aca="false">A18&amp;" | "&amp;F18&amp;" | "&amp;J18&amp;" | "&amp;K18</f>
        <v>ELE2609-017 | Electro Days | Google Ads | Demand Gen · Tráfico</v>
      </c>
    </row>
    <row r="19" customFormat="false" ht="15" hidden="false" customHeight="false" outlineLevel="0" collapsed="false">
      <c r="A19" s="5" t="s">
        <v>112</v>
      </c>
      <c r="B19" s="5" t="s">
        <v>20</v>
      </c>
      <c r="C19" s="5" t="s">
        <v>21</v>
      </c>
      <c r="D19" s="5" t="s">
        <v>73</v>
      </c>
      <c r="E19" s="5"/>
      <c r="F19" s="5" t="s">
        <v>45</v>
      </c>
      <c r="G19" s="8" t="n">
        <v>46285</v>
      </c>
      <c r="H19" s="8" t="n">
        <v>46291</v>
      </c>
      <c r="I19" s="5"/>
      <c r="J19" s="5" t="s">
        <v>56</v>
      </c>
      <c r="K19" s="5" t="s">
        <v>113</v>
      </c>
      <c r="L19" s="5" t="s">
        <v>26</v>
      </c>
      <c r="M19" s="7" t="n">
        <v>2500</v>
      </c>
      <c r="N19" s="5" t="s">
        <v>27</v>
      </c>
      <c r="O19" s="12" t="n">
        <v>0.2</v>
      </c>
      <c r="P19" s="9"/>
      <c r="Q19" s="13" t="str">
        <f aca="false">IFERROR(VLOOKUP(K19,Catálogos!$F:$G,2,FALSE()),"Revisar objetivo")</f>
        <v>Por unidad</v>
      </c>
      <c r="R19" s="13" t="str">
        <f aca="false">A19&amp;" | "&amp;F19&amp;" | "&amp;J19&amp;" | "&amp;K19</f>
        <v>ELE2609-018 | Electro Days | Meta | Tráfico</v>
      </c>
    </row>
    <row r="20" customFormat="false" ht="15" hidden="false" customHeight="false" outlineLevel="0" collapsed="false">
      <c r="A20" s="5" t="s">
        <v>114</v>
      </c>
      <c r="B20" s="5" t="s">
        <v>20</v>
      </c>
      <c r="C20" s="5" t="s">
        <v>21</v>
      </c>
      <c r="D20" s="5" t="s">
        <v>73</v>
      </c>
      <c r="E20" s="5"/>
      <c r="F20" s="5" t="s">
        <v>45</v>
      </c>
      <c r="G20" s="8" t="n">
        <v>46285</v>
      </c>
      <c r="H20" s="8" t="n">
        <v>46291</v>
      </c>
      <c r="I20" s="5"/>
      <c r="J20" s="5" t="s">
        <v>56</v>
      </c>
      <c r="K20" s="5" t="s">
        <v>115</v>
      </c>
      <c r="L20" s="5" t="s">
        <v>26</v>
      </c>
      <c r="M20" s="7" t="n">
        <v>2500</v>
      </c>
      <c r="N20" s="5" t="s">
        <v>27</v>
      </c>
      <c r="O20" s="12" t="n">
        <v>147.06</v>
      </c>
      <c r="P20" s="9"/>
      <c r="Q20" s="13" t="str">
        <f aca="false">IFERROR(VLOOKUP(K20,Catálogos!$F:$G,2,FALSE()),"Revisar objetivo")</f>
        <v>Por unidad</v>
      </c>
      <c r="R20" s="13" t="str">
        <f aca="false">A20&amp;" | "&amp;F20&amp;" | "&amp;J20&amp;" | "&amp;K20</f>
        <v>ELE2609-019 | Electro Days | Meta | Ventas</v>
      </c>
    </row>
    <row r="21" customFormat="false" ht="15" hidden="false" customHeight="false" outlineLevel="0" collapsed="false">
      <c r="A21" s="5" t="s">
        <v>116</v>
      </c>
      <c r="B21" s="5" t="s">
        <v>20</v>
      </c>
      <c r="C21" s="5" t="s">
        <v>21</v>
      </c>
      <c r="D21" s="5" t="s">
        <v>73</v>
      </c>
      <c r="E21" s="5"/>
      <c r="F21" s="5" t="s">
        <v>45</v>
      </c>
      <c r="G21" s="8" t="n">
        <v>46285</v>
      </c>
      <c r="H21" s="8" t="n">
        <v>46291</v>
      </c>
      <c r="I21" s="5"/>
      <c r="J21" s="5" t="s">
        <v>102</v>
      </c>
      <c r="K21" s="5" t="s">
        <v>103</v>
      </c>
      <c r="L21" s="5" t="s">
        <v>33</v>
      </c>
      <c r="M21" s="7" t="n">
        <v>1065</v>
      </c>
      <c r="N21" s="5" t="s">
        <v>27</v>
      </c>
      <c r="O21" s="12" t="n">
        <v>0.71</v>
      </c>
      <c r="P21" s="9"/>
      <c r="Q21" s="13" t="str">
        <f aca="false">IFERROR(VLOOKUP(K21,Catálogos!$F:$G,2,FALSE()),"Revisar objetivo")</f>
        <v>Por unidad</v>
      </c>
      <c r="R21" s="13" t="str">
        <f aca="false">A21&amp;" | "&amp;F21&amp;" | "&amp;J21&amp;" | "&amp;K21</f>
        <v>ELE2609-020 | Electro Days | iSoft | WhatsApp masivo</v>
      </c>
    </row>
    <row r="22" customFormat="false" ht="15" hidden="false" customHeight="false" outlineLevel="0" collapsed="false">
      <c r="A22" s="5" t="s">
        <v>117</v>
      </c>
      <c r="B22" s="5" t="s">
        <v>20</v>
      </c>
      <c r="C22" s="5" t="s">
        <v>21</v>
      </c>
      <c r="D22" s="5" t="s">
        <v>73</v>
      </c>
      <c r="E22" s="5"/>
      <c r="F22" s="5" t="s">
        <v>45</v>
      </c>
      <c r="G22" s="8" t="n">
        <v>46285</v>
      </c>
      <c r="H22" s="8" t="n">
        <v>46289</v>
      </c>
      <c r="I22" s="5" t="s">
        <v>118</v>
      </c>
      <c r="J22" s="5" t="s">
        <v>107</v>
      </c>
      <c r="K22" s="5" t="s">
        <v>108</v>
      </c>
      <c r="L22" s="5" t="s">
        <v>109</v>
      </c>
      <c r="M22" s="7" t="n">
        <v>0</v>
      </c>
      <c r="N22" s="5" t="s">
        <v>27</v>
      </c>
      <c r="O22" s="12" t="n">
        <v>0</v>
      </c>
      <c r="P22" s="9" t="n">
        <v>4500</v>
      </c>
      <c r="Q22" s="13" t="str">
        <f aca="false">IFERROR(VLOOKUP(K22,Catálogos!$F:$G,2,FALSE()),"Revisar objetivo")</f>
        <v>Sin costo</v>
      </c>
      <c r="R22" s="13" t="str">
        <f aca="false">A22&amp;" | "&amp;F22&amp;" | "&amp;J22&amp;" | "&amp;K22</f>
        <v>ELE2609-021 | Electro Days | Mailjet | Mailing</v>
      </c>
    </row>
    <row r="23" customFormat="false" ht="15" hidden="false" customHeight="false" outlineLevel="0" collapsed="false">
      <c r="A23" s="5" t="s">
        <v>119</v>
      </c>
      <c r="B23" s="5" t="s">
        <v>20</v>
      </c>
      <c r="C23" s="5" t="s">
        <v>21</v>
      </c>
      <c r="D23" s="5" t="s">
        <v>73</v>
      </c>
      <c r="E23" s="5"/>
      <c r="F23" s="5" t="s">
        <v>120</v>
      </c>
      <c r="G23" s="8" t="n">
        <v>46281</v>
      </c>
      <c r="H23" s="8" t="n">
        <v>46285</v>
      </c>
      <c r="I23" s="5"/>
      <c r="J23" s="5" t="s">
        <v>56</v>
      </c>
      <c r="K23" s="5" t="s">
        <v>113</v>
      </c>
      <c r="L23" s="5" t="s">
        <v>38</v>
      </c>
      <c r="M23" s="7" t="n">
        <v>392.5</v>
      </c>
      <c r="N23" s="5" t="s">
        <v>27</v>
      </c>
      <c r="O23" s="12" t="n">
        <v>0.2355</v>
      </c>
      <c r="P23" s="9"/>
      <c r="Q23" s="13" t="str">
        <f aca="false">IFERROR(VLOOKUP(K23,Catálogos!$F:$G,2,FALSE()),"Revisar objetivo")</f>
        <v>Por unidad</v>
      </c>
      <c r="R23" s="13" t="str">
        <f aca="false">A23&amp;" | "&amp;F23&amp;" | "&amp;J23&amp;" | "&amp;K23</f>
        <v>ELE2609-022 | Talento Humano | Meta | Tráfico</v>
      </c>
    </row>
    <row r="24" customFormat="false" ht="15" hidden="false" customHeight="false" outlineLevel="0" collapsed="false">
      <c r="A24" s="5" t="s">
        <v>121</v>
      </c>
      <c r="B24" s="5" t="s">
        <v>20</v>
      </c>
      <c r="C24" s="5" t="s">
        <v>21</v>
      </c>
      <c r="D24" s="5" t="s">
        <v>73</v>
      </c>
      <c r="E24" s="5"/>
      <c r="F24" s="5" t="s">
        <v>35</v>
      </c>
      <c r="G24" s="8" t="n">
        <v>46267</v>
      </c>
      <c r="H24" s="8" t="n">
        <v>46295</v>
      </c>
      <c r="I24" s="5"/>
      <c r="J24" s="5" t="s">
        <v>56</v>
      </c>
      <c r="K24" s="5" t="s">
        <v>122</v>
      </c>
      <c r="L24" s="5" t="s">
        <v>35</v>
      </c>
      <c r="M24" s="7" t="n">
        <v>2000.02</v>
      </c>
      <c r="N24" s="5" t="s">
        <v>27</v>
      </c>
      <c r="O24" s="12" t="n">
        <v>25</v>
      </c>
      <c r="P24" s="9"/>
      <c r="Q24" s="13" t="str">
        <f aca="false">IFERROR(VLOOKUP(K24,Catálogos!$F:$G,2,FALSE()),"Revisar objetivo")</f>
        <v>Por unidad</v>
      </c>
      <c r="R24" s="13" t="str">
        <f aca="false">A24&amp;" | "&amp;F24&amp;" | "&amp;J24&amp;" | "&amp;K24</f>
        <v>ELE2608-023 | Leads B2B | Meta | Lead Forms</v>
      </c>
    </row>
    <row r="25" customFormat="false" ht="15" hidden="false" customHeight="false" outlineLevel="0" collapsed="false">
      <c r="A25" s="5" t="s">
        <v>123</v>
      </c>
      <c r="B25" s="5" t="s">
        <v>20</v>
      </c>
      <c r="C25" s="5" t="s">
        <v>21</v>
      </c>
      <c r="D25" s="5" t="s">
        <v>73</v>
      </c>
      <c r="E25" s="5"/>
      <c r="F25" s="5" t="s">
        <v>49</v>
      </c>
      <c r="G25" s="8" t="n">
        <v>46288</v>
      </c>
      <c r="H25" s="8" t="n">
        <v>46294</v>
      </c>
      <c r="I25" s="5"/>
      <c r="J25" s="5" t="s">
        <v>56</v>
      </c>
      <c r="K25" s="5" t="s">
        <v>113</v>
      </c>
      <c r="L25" s="5" t="s">
        <v>36</v>
      </c>
      <c r="M25" s="7" t="n">
        <v>1000</v>
      </c>
      <c r="N25" s="5" t="s">
        <v>27</v>
      </c>
      <c r="O25" s="12" t="n">
        <v>0.42</v>
      </c>
      <c r="P25" s="9"/>
      <c r="Q25" s="13" t="str">
        <f aca="false">IFERROR(VLOOKUP(K25,Catálogos!$F:$G,2,FALSE()),"Revisar objetivo")</f>
        <v>Por unidad</v>
      </c>
      <c r="R25" s="13" t="str">
        <f aca="false">A25&amp;" | "&amp;F25&amp;" | "&amp;J25&amp;" | "&amp;K25</f>
        <v>ELE2609-024 | Capacitación | Meta | Tráfico</v>
      </c>
    </row>
    <row r="26" customFormat="false" ht="15" hidden="false" customHeight="false" outlineLevel="0" collapsed="false">
      <c r="A26" s="5" t="s">
        <v>124</v>
      </c>
      <c r="B26" s="5" t="s">
        <v>20</v>
      </c>
      <c r="C26" s="5" t="s">
        <v>21</v>
      </c>
      <c r="D26" s="5" t="s">
        <v>73</v>
      </c>
      <c r="E26" s="5"/>
      <c r="F26" s="5" t="s">
        <v>49</v>
      </c>
      <c r="G26" s="8" t="n">
        <v>46288</v>
      </c>
      <c r="H26" s="8" t="n">
        <v>46288</v>
      </c>
      <c r="I26" s="5"/>
      <c r="J26" s="5" t="s">
        <v>102</v>
      </c>
      <c r="K26" s="5" t="s">
        <v>103</v>
      </c>
      <c r="L26" s="5" t="s">
        <v>30</v>
      </c>
      <c r="M26" s="7" t="n">
        <v>1065</v>
      </c>
      <c r="N26" s="5" t="s">
        <v>27</v>
      </c>
      <c r="O26" s="12" t="n">
        <v>0.71</v>
      </c>
      <c r="P26" s="9"/>
      <c r="Q26" s="13" t="str">
        <f aca="false">IFERROR(VLOOKUP(K26,Catálogos!$F:$G,2,FALSE()),"Revisar objetivo")</f>
        <v>Por unidad</v>
      </c>
      <c r="R26" s="13" t="str">
        <f aca="false">A26&amp;" | "&amp;F26&amp;" | "&amp;J26&amp;" | "&amp;K26</f>
        <v>ELE2609-025 | Capacitación | iSoft | WhatsApp masivo</v>
      </c>
    </row>
    <row r="27" customFormat="false" ht="15" hidden="false" customHeight="false" outlineLevel="0" collapsed="false">
      <c r="A27" s="5" t="s">
        <v>125</v>
      </c>
      <c r="B27" s="5" t="s">
        <v>20</v>
      </c>
      <c r="C27" s="5" t="s">
        <v>21</v>
      </c>
      <c r="D27" s="5" t="s">
        <v>126</v>
      </c>
      <c r="E27" s="5"/>
      <c r="F27" s="5" t="s">
        <v>74</v>
      </c>
      <c r="G27" s="8" t="n">
        <v>46266</v>
      </c>
      <c r="H27" s="8" t="n">
        <v>46295</v>
      </c>
      <c r="I27" s="5"/>
      <c r="J27" s="5" t="s">
        <v>56</v>
      </c>
      <c r="K27" s="5" t="s">
        <v>58</v>
      </c>
      <c r="L27" s="5" t="s">
        <v>26</v>
      </c>
      <c r="M27" s="7" t="n">
        <v>0</v>
      </c>
      <c r="N27" s="5" t="s">
        <v>27</v>
      </c>
      <c r="O27" s="12" t="n">
        <v>0.3</v>
      </c>
      <c r="P27" s="9"/>
      <c r="Q27" s="13" t="str">
        <f aca="false">IFERROR(VLOOKUP(K27,Catálogos!$F:$G,2,FALSE()),"Revisar objetivo")</f>
        <v>Por unidad</v>
      </c>
      <c r="R27" s="13" t="str">
        <f aca="false">A27&amp;" | "&amp;F27&amp;" | "&amp;J27&amp;" | "&amp;K27</f>
        <v>ELE2608-002 | Mantenimiento | Meta | Interacción</v>
      </c>
    </row>
  </sheetData>
  <dataValidations count="7">
    <dataValidation allowBlank="true" errorStyle="stop" operator="between" showDropDown="false" showErrorMessage="false" showInputMessage="false" sqref="B2:B500" type="list">
      <formula1>Catálogos!$A$2:$A$20</formula1>
      <formula2>0</formula2>
    </dataValidation>
    <dataValidation allowBlank="true" errorStyle="stop" operator="between" showDropDown="false" showErrorMessage="false" showInputMessage="false" sqref="J2:J500" type="list">
      <formula1>Catálogos!$C$2:$C$40</formula1>
      <formula2>0</formula2>
    </dataValidation>
    <dataValidation allowBlank="true" errorStyle="stop" operator="between" showDropDown="false" showErrorMessage="false" showInputMessage="false" sqref="K2:K500" type="list">
      <formula1>Catálogos!$F$2:$F$60</formula1>
      <formula2>0</formula2>
    </dataValidation>
    <dataValidation allowBlank="true" errorStyle="stop" operator="between" showDropDown="false" showErrorMessage="false" showInputMessage="false" sqref="F2:F500" type="list">
      <formula1>Catálogos!$H$2:$H$80</formula1>
      <formula2>0</formula2>
    </dataValidation>
    <dataValidation allowBlank="true" errorStyle="stop" operator="between" showDropDown="false" showErrorMessage="false" showInputMessage="false" sqref="L2:L500" type="list">
      <formula1>Catálogos!$I$2:$I$60</formula1>
      <formula2>0</formula2>
    </dataValidation>
    <dataValidation allowBlank="true" errorStyle="stop" operator="between" showDropDown="false" showErrorMessage="false" showInputMessage="false" sqref="D2:D500" type="list">
      <formula1>Catálogos!$J$2:$J$4</formula1>
      <formula2>0</formula2>
    </dataValidation>
    <dataValidation allowBlank="true" errorStyle="stop" operator="between" showDropDown="false" showErrorMessage="false" showInputMessage="false" sqref="N2:N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4" t="s">
        <v>17</v>
      </c>
      <c r="B1" s="14" t="s">
        <v>127</v>
      </c>
      <c r="C1" s="14" t="s">
        <v>65</v>
      </c>
      <c r="D1" s="14" t="s">
        <v>128</v>
      </c>
      <c r="E1" s="14" t="s">
        <v>129</v>
      </c>
      <c r="F1" s="14" t="s">
        <v>66</v>
      </c>
      <c r="G1" s="14" t="s">
        <v>130</v>
      </c>
      <c r="H1" s="14" t="s">
        <v>39</v>
      </c>
      <c r="I1" s="14" t="s">
        <v>22</v>
      </c>
      <c r="J1" s="14" t="s">
        <v>62</v>
      </c>
      <c r="K1" s="14" t="s">
        <v>25</v>
      </c>
    </row>
    <row r="2" customFormat="false" ht="15" hidden="false" customHeight="false" outlineLevel="0" collapsed="false">
      <c r="A2" s="15" t="s">
        <v>131</v>
      </c>
      <c r="B2" s="15" t="s">
        <v>132</v>
      </c>
      <c r="C2" s="15" t="s">
        <v>56</v>
      </c>
      <c r="D2" s="15" t="s">
        <v>133</v>
      </c>
      <c r="E2" s="15" t="s">
        <v>134</v>
      </c>
      <c r="F2" s="15" t="s">
        <v>54</v>
      </c>
      <c r="G2" s="15" t="s">
        <v>135</v>
      </c>
      <c r="H2" s="15" t="s">
        <v>74</v>
      </c>
      <c r="I2" s="15" t="s">
        <v>26</v>
      </c>
      <c r="J2" s="15" t="s">
        <v>73</v>
      </c>
      <c r="K2" s="15" t="s">
        <v>27</v>
      </c>
    </row>
    <row r="3" customFormat="false" ht="15" hidden="false" customHeight="false" outlineLevel="0" collapsed="false">
      <c r="A3" s="15" t="s">
        <v>136</v>
      </c>
      <c r="B3" s="15" t="s">
        <v>137</v>
      </c>
      <c r="C3" s="15" t="s">
        <v>77</v>
      </c>
      <c r="D3" s="15" t="s">
        <v>133</v>
      </c>
      <c r="E3" s="15" t="s">
        <v>134</v>
      </c>
      <c r="F3" s="15" t="s">
        <v>86</v>
      </c>
      <c r="G3" s="15" t="s">
        <v>135</v>
      </c>
      <c r="H3" s="15" t="s">
        <v>82</v>
      </c>
      <c r="I3" s="15" t="s">
        <v>28</v>
      </c>
      <c r="J3" s="15" t="s">
        <v>138</v>
      </c>
      <c r="K3" s="15" t="s">
        <v>134</v>
      </c>
    </row>
    <row r="4" customFormat="false" ht="15" hidden="false" customHeight="false" outlineLevel="0" collapsed="false">
      <c r="A4" s="15" t="s">
        <v>20</v>
      </c>
      <c r="B4" s="15" t="s">
        <v>139</v>
      </c>
      <c r="C4" s="15" t="s">
        <v>29</v>
      </c>
      <c r="D4" s="15" t="s">
        <v>133</v>
      </c>
      <c r="E4" s="15" t="s">
        <v>134</v>
      </c>
      <c r="F4" s="15" t="s">
        <v>88</v>
      </c>
      <c r="G4" s="15" t="s">
        <v>135</v>
      </c>
      <c r="H4" s="15" t="s">
        <v>46</v>
      </c>
      <c r="I4" s="15" t="s">
        <v>29</v>
      </c>
      <c r="J4" s="15" t="s">
        <v>126</v>
      </c>
    </row>
    <row r="5" customFormat="false" ht="15" hidden="false" customHeight="false" outlineLevel="0" collapsed="false">
      <c r="A5" s="15" t="s">
        <v>140</v>
      </c>
      <c r="B5" s="15" t="s">
        <v>141</v>
      </c>
      <c r="C5" s="15" t="s">
        <v>80</v>
      </c>
      <c r="D5" s="15" t="s">
        <v>133</v>
      </c>
      <c r="E5" s="15" t="s">
        <v>134</v>
      </c>
      <c r="F5" s="15" t="s">
        <v>90</v>
      </c>
      <c r="G5" s="15" t="s">
        <v>135</v>
      </c>
      <c r="H5" s="15" t="s">
        <v>44</v>
      </c>
      <c r="I5" s="15" t="s">
        <v>30</v>
      </c>
    </row>
    <row r="6" customFormat="false" ht="15" hidden="false" customHeight="false" outlineLevel="0" collapsed="false">
      <c r="A6" s="15" t="s">
        <v>142</v>
      </c>
      <c r="B6" s="15" t="s">
        <v>143</v>
      </c>
      <c r="C6" s="15" t="s">
        <v>30</v>
      </c>
      <c r="D6" s="15" t="s">
        <v>133</v>
      </c>
      <c r="E6" s="15" t="s">
        <v>134</v>
      </c>
      <c r="F6" s="15" t="s">
        <v>144</v>
      </c>
      <c r="G6" s="15" t="s">
        <v>135</v>
      </c>
      <c r="H6" s="15" t="s">
        <v>45</v>
      </c>
      <c r="I6" s="15" t="s">
        <v>31</v>
      </c>
    </row>
    <row r="7" customFormat="false" ht="15" hidden="false" customHeight="false" outlineLevel="0" collapsed="false">
      <c r="C7" s="15" t="s">
        <v>92</v>
      </c>
      <c r="D7" s="15" t="s">
        <v>136</v>
      </c>
      <c r="E7" s="15" t="s">
        <v>134</v>
      </c>
      <c r="F7" s="15" t="s">
        <v>93</v>
      </c>
      <c r="G7" s="15" t="s">
        <v>135</v>
      </c>
      <c r="H7" s="15" t="s">
        <v>145</v>
      </c>
      <c r="I7" s="15" t="s">
        <v>32</v>
      </c>
    </row>
    <row r="8" customFormat="false" ht="15" hidden="false" customHeight="false" outlineLevel="0" collapsed="false">
      <c r="C8" s="15" t="s">
        <v>97</v>
      </c>
      <c r="D8" s="15" t="s">
        <v>136</v>
      </c>
      <c r="E8" s="15" t="s">
        <v>27</v>
      </c>
      <c r="F8" s="15" t="s">
        <v>95</v>
      </c>
      <c r="G8" s="15" t="s">
        <v>135</v>
      </c>
      <c r="H8" s="15" t="s">
        <v>120</v>
      </c>
      <c r="I8" s="15" t="s">
        <v>33</v>
      </c>
    </row>
    <row r="9" customFormat="false" ht="15" hidden="false" customHeight="false" outlineLevel="0" collapsed="false">
      <c r="C9" s="15" t="s">
        <v>102</v>
      </c>
      <c r="D9" s="15" t="s">
        <v>136</v>
      </c>
      <c r="E9" s="15" t="s">
        <v>27</v>
      </c>
      <c r="F9" s="15" t="s">
        <v>98</v>
      </c>
      <c r="G9" s="15" t="s">
        <v>135</v>
      </c>
      <c r="H9" s="15" t="s">
        <v>146</v>
      </c>
      <c r="I9" s="15" t="s">
        <v>34</v>
      </c>
    </row>
    <row r="10" customFormat="false" ht="15" hidden="false" customHeight="false" outlineLevel="0" collapsed="false">
      <c r="C10" s="15" t="s">
        <v>107</v>
      </c>
      <c r="D10" s="15" t="s">
        <v>136</v>
      </c>
      <c r="E10" s="15" t="s">
        <v>27</v>
      </c>
      <c r="F10" s="15" t="s">
        <v>58</v>
      </c>
      <c r="G10" s="15" t="s">
        <v>147</v>
      </c>
      <c r="H10" s="15" t="s">
        <v>35</v>
      </c>
      <c r="I10" s="15" t="s">
        <v>35</v>
      </c>
    </row>
    <row r="11" customFormat="false" ht="15" hidden="false" customHeight="false" outlineLevel="0" collapsed="false">
      <c r="F11" s="15" t="s">
        <v>78</v>
      </c>
      <c r="G11" s="15" t="s">
        <v>147</v>
      </c>
      <c r="H11" s="15" t="s">
        <v>49</v>
      </c>
      <c r="I11" s="15" t="s">
        <v>36</v>
      </c>
    </row>
    <row r="12" customFormat="false" ht="15" hidden="false" customHeight="false" outlineLevel="0" collapsed="false">
      <c r="F12" s="15" t="s">
        <v>111</v>
      </c>
      <c r="G12" s="15" t="s">
        <v>147</v>
      </c>
      <c r="I12" s="15" t="s">
        <v>37</v>
      </c>
    </row>
    <row r="13" customFormat="false" ht="15" hidden="false" customHeight="false" outlineLevel="0" collapsed="false">
      <c r="F13" s="15" t="s">
        <v>113</v>
      </c>
      <c r="G13" s="15" t="s">
        <v>147</v>
      </c>
      <c r="I13" s="15" t="s">
        <v>38</v>
      </c>
    </row>
    <row r="14" customFormat="false" ht="15" hidden="false" customHeight="false" outlineLevel="0" collapsed="false">
      <c r="F14" s="15" t="s">
        <v>83</v>
      </c>
      <c r="G14" s="15" t="s">
        <v>147</v>
      </c>
      <c r="I14" s="15" t="s">
        <v>109</v>
      </c>
    </row>
    <row r="15" customFormat="false" ht="15" hidden="false" customHeight="false" outlineLevel="0" collapsed="false">
      <c r="F15" s="15" t="s">
        <v>115</v>
      </c>
      <c r="G15" s="15" t="s">
        <v>147</v>
      </c>
    </row>
    <row r="16" customFormat="false" ht="15" hidden="false" customHeight="false" outlineLevel="0" collapsed="false">
      <c r="F16" s="15" t="s">
        <v>122</v>
      </c>
      <c r="G16" s="15" t="s">
        <v>147</v>
      </c>
    </row>
    <row r="17" customFormat="false" ht="15" hidden="false" customHeight="false" outlineLevel="0" collapsed="false">
      <c r="F17" s="15" t="s">
        <v>103</v>
      </c>
      <c r="G17" s="15" t="s">
        <v>147</v>
      </c>
    </row>
    <row r="18" customFormat="false" ht="15" hidden="false" customHeight="false" outlineLevel="0" collapsed="false">
      <c r="F18" s="15" t="s">
        <v>105</v>
      </c>
      <c r="G18" s="15" t="s">
        <v>147</v>
      </c>
    </row>
    <row r="19" customFormat="false" ht="15" hidden="false" customHeight="false" outlineLevel="0" collapsed="false">
      <c r="F19" s="15" t="s">
        <v>108</v>
      </c>
      <c r="G19" s="15" t="s">
        <v>109</v>
      </c>
    </row>
    <row r="22" customFormat="false" ht="15" hidden="false" customHeight="false" outlineLevel="0" collapsed="false">
      <c r="A22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2026-10-21T23:39:53Z</dcterms:created>
  <dc:creator>openpyxl</dc:creator>
  <dc:description/>
  <dc:language>en-US</dc:language>
  <cp:lastModifiedBy/>
  <dcterms:modified xsi:type="dcterms:W3CDTF">2026-10-21T23:39:53Z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